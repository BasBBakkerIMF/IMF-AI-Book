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5.xml" ContentType="application/vnd.openxmlformats-officedocument.drawingml.chartshap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Q:\DATA\C2\JAM\Databases\Macroframework\Current\Charts\2021 Staff Report Charts - R\databases\"/>
    </mc:Choice>
  </mc:AlternateContent>
  <xr:revisionPtr revIDLastSave="0" documentId="14_{AF1C151C-6301-4ECB-B700-72AAFE1EF359}" xr6:coauthVersionLast="46" xr6:coauthVersionMax="46" xr10:uidLastSave="{00000000-0000-0000-0000-000000000000}"/>
  <bookViews>
    <workbookView xWindow="4860" yWindow="2970" windowWidth="28800" windowHeight="15435" firstSheet="3" activeTab="12" xr2:uid="{6038C6C0-4BF3-4715-ADD7-4632600DC0F1}"/>
  </bookViews>
  <sheets>
    <sheet name="chart 1" sheetId="1" r:id="rId1"/>
    <sheet name="chart 2" sheetId="2" r:id="rId2"/>
    <sheet name="REMITTANCES" sheetId="3" r:id="rId3"/>
    <sheet name="fiscal" sheetId="5" r:id="rId4"/>
    <sheet name="rate and inflation" sheetId="6" r:id="rId5"/>
    <sheet name="int rates" sheetId="8" r:id="rId6"/>
    <sheet name="REER" sheetId="7" r:id="rId7"/>
    <sheet name="Deposits" sheetId="11" r:id="rId8"/>
    <sheet name="fiscal panel" sheetId="9" r:id="rId9"/>
    <sheet name="Chart 1 Data" sheetId="12" r:id="rId10"/>
    <sheet name="Chart 2 Data" sheetId="10" r:id="rId11"/>
    <sheet name="Chart 3 Data" sheetId="13" r:id="rId12"/>
    <sheet name="Chart 4 Data" sheetId="15" r:id="rId13"/>
    <sheet name="Chart 5 Data" sheetId="14" r:id="rId14"/>
    <sheet name="Chart 6 Data" sheetId="16" r:id="rId15"/>
  </sheets>
  <externalReferences>
    <externalReference r:id="rId16"/>
  </externalReferences>
  <definedNames>
    <definedName name="_xlnm._FilterDatabase" localSheetId="0" hidden="1">'chart 1'!$C$4:$D$15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" i="16" l="1"/>
  <c r="D1" i="16" s="1"/>
  <c r="E1" i="16" s="1"/>
  <c r="F1" i="16" s="1"/>
  <c r="G1" i="16" s="1"/>
  <c r="H1" i="16" s="1"/>
  <c r="I1" i="16" s="1"/>
  <c r="J1" i="16" s="1"/>
  <c r="K1" i="16" s="1"/>
  <c r="L1" i="16" s="1"/>
  <c r="C1" i="14"/>
  <c r="D1" i="14" s="1"/>
  <c r="E1" i="14" s="1"/>
  <c r="F1" i="14" s="1"/>
  <c r="G1" i="14" s="1"/>
  <c r="H1" i="14" s="1"/>
  <c r="I1" i="14" s="1"/>
  <c r="J1" i="14" s="1"/>
  <c r="K1" i="14" s="1"/>
  <c r="L1" i="14" s="1"/>
  <c r="L3" i="15"/>
  <c r="K3" i="15"/>
  <c r="J3" i="15"/>
  <c r="I3" i="15"/>
  <c r="H3" i="15"/>
  <c r="G3" i="15"/>
  <c r="F3" i="15"/>
  <c r="E3" i="15"/>
  <c r="D3" i="15"/>
  <c r="C3" i="15"/>
  <c r="B3" i="15"/>
  <c r="D1" i="15"/>
  <c r="E1" i="15" s="1"/>
  <c r="F1" i="15" s="1"/>
  <c r="G1" i="15" s="1"/>
  <c r="H1" i="15" s="1"/>
  <c r="I1" i="15" s="1"/>
  <c r="J1" i="15" s="1"/>
  <c r="K1" i="15" s="1"/>
  <c r="L1" i="15" s="1"/>
  <c r="C1" i="15"/>
  <c r="L4" i="13"/>
  <c r="K4" i="13"/>
  <c r="J4" i="13"/>
  <c r="I4" i="13"/>
  <c r="H4" i="13"/>
  <c r="G4" i="13"/>
  <c r="F4" i="13"/>
  <c r="E4" i="13"/>
  <c r="D4" i="13"/>
  <c r="C4" i="13"/>
  <c r="B4" i="13"/>
  <c r="D1" i="13"/>
  <c r="E1" i="13" s="1"/>
  <c r="F1" i="13" s="1"/>
  <c r="G1" i="13" s="1"/>
  <c r="H1" i="13" s="1"/>
  <c r="I1" i="13" s="1"/>
  <c r="J1" i="13" s="1"/>
  <c r="K1" i="13" s="1"/>
  <c r="L1" i="13" s="1"/>
  <c r="C1" i="13"/>
  <c r="C1" i="10"/>
  <c r="D1" i="10" s="1"/>
  <c r="E1" i="10" s="1"/>
  <c r="F1" i="10" s="1"/>
  <c r="G1" i="10" s="1"/>
  <c r="H1" i="10" s="1"/>
  <c r="I1" i="10" s="1"/>
  <c r="J1" i="10" s="1"/>
  <c r="K1" i="10" s="1"/>
  <c r="L1" i="10" s="1"/>
  <c r="C1" i="12"/>
  <c r="D1" i="12" s="1"/>
  <c r="E1" i="12" s="1"/>
  <c r="F1" i="12" s="1"/>
  <c r="G1" i="12" s="1"/>
  <c r="H1" i="12" s="1"/>
  <c r="I1" i="12" s="1"/>
  <c r="J1" i="12" s="1"/>
  <c r="K1" i="12" s="1"/>
  <c r="L1" i="12" s="1"/>
  <c r="E151" i="9" l="1"/>
  <c r="F151" i="9" s="1"/>
  <c r="G151" i="9" s="1"/>
  <c r="H151" i="9" s="1"/>
  <c r="I151" i="9" s="1"/>
  <c r="J151" i="9" s="1"/>
  <c r="K151" i="9" s="1"/>
  <c r="L151" i="9" s="1"/>
  <c r="M151" i="9" s="1"/>
  <c r="N151" i="9" s="1"/>
  <c r="E129" i="9"/>
  <c r="F129" i="9" s="1"/>
  <c r="G129" i="9" s="1"/>
  <c r="H129" i="9" s="1"/>
  <c r="I129" i="9" s="1"/>
  <c r="J129" i="9" s="1"/>
  <c r="K129" i="9" s="1"/>
  <c r="L129" i="9" s="1"/>
  <c r="M129" i="9" s="1"/>
  <c r="N129" i="9" s="1"/>
  <c r="N106" i="9"/>
  <c r="M106" i="9"/>
  <c r="L106" i="9"/>
  <c r="K106" i="9"/>
  <c r="J106" i="9"/>
  <c r="I106" i="9"/>
  <c r="H106" i="9"/>
  <c r="G106" i="9"/>
  <c r="F106" i="9"/>
  <c r="E106" i="9"/>
  <c r="D106" i="9"/>
  <c r="E104" i="9"/>
  <c r="F104" i="9" s="1"/>
  <c r="G104" i="9" s="1"/>
  <c r="H104" i="9" s="1"/>
  <c r="I104" i="9" s="1"/>
  <c r="J104" i="9" s="1"/>
  <c r="K104" i="9" s="1"/>
  <c r="L104" i="9" s="1"/>
  <c r="M104" i="9" s="1"/>
  <c r="N104" i="9" s="1"/>
  <c r="N83" i="9"/>
  <c r="M83" i="9"/>
  <c r="L83" i="9"/>
  <c r="K83" i="9"/>
  <c r="J83" i="9"/>
  <c r="I83" i="9"/>
  <c r="H83" i="9"/>
  <c r="G83" i="9"/>
  <c r="F83" i="9"/>
  <c r="E83" i="9"/>
  <c r="D83" i="9"/>
  <c r="E80" i="9"/>
  <c r="F80" i="9" s="1"/>
  <c r="G80" i="9" s="1"/>
  <c r="H80" i="9" s="1"/>
  <c r="I80" i="9" s="1"/>
  <c r="J80" i="9" s="1"/>
  <c r="K80" i="9" s="1"/>
  <c r="L80" i="9" s="1"/>
  <c r="M80" i="9" s="1"/>
  <c r="N80" i="9" s="1"/>
  <c r="E55" i="9"/>
  <c r="F55" i="9" s="1"/>
  <c r="G55" i="9" s="1"/>
  <c r="H55" i="9" s="1"/>
  <c r="I55" i="9" s="1"/>
  <c r="J55" i="9" s="1"/>
  <c r="K55" i="9" s="1"/>
  <c r="L55" i="9" s="1"/>
  <c r="M55" i="9" s="1"/>
  <c r="N55" i="9" s="1"/>
  <c r="E32" i="9"/>
  <c r="F32" i="9" s="1"/>
  <c r="G32" i="9" s="1"/>
  <c r="H32" i="9" s="1"/>
  <c r="I32" i="9" s="1"/>
  <c r="J32" i="9" s="1"/>
  <c r="K32" i="9" s="1"/>
  <c r="L32" i="9" s="1"/>
  <c r="M32" i="9" s="1"/>
  <c r="N32" i="9" s="1"/>
  <c r="N17" i="9" l="1"/>
  <c r="M17" i="9"/>
  <c r="L17" i="9"/>
  <c r="K17" i="9"/>
  <c r="J17" i="9"/>
  <c r="I17" i="9"/>
  <c r="H17" i="9"/>
  <c r="G17" i="9"/>
  <c r="F17" i="9"/>
  <c r="E17" i="9"/>
  <c r="D17" i="9"/>
  <c r="N12" i="9"/>
  <c r="M12" i="9"/>
  <c r="L12" i="9"/>
  <c r="K12" i="9"/>
  <c r="J12" i="9"/>
  <c r="I12" i="9"/>
  <c r="H12" i="9"/>
  <c r="G12" i="9"/>
  <c r="F12" i="9"/>
  <c r="E12" i="9"/>
  <c r="D12" i="9"/>
  <c r="N7" i="9"/>
  <c r="M7" i="9"/>
  <c r="L7" i="9"/>
  <c r="K7" i="9"/>
  <c r="J7" i="9"/>
  <c r="I7" i="9"/>
  <c r="H7" i="9"/>
  <c r="G7" i="9"/>
  <c r="F7" i="9"/>
  <c r="E7" i="9"/>
  <c r="D7" i="9"/>
  <c r="E4" i="9"/>
  <c r="F4" i="9" s="1"/>
  <c r="G4" i="9" s="1"/>
  <c r="H4" i="9" s="1"/>
  <c r="I4" i="9" s="1"/>
  <c r="J4" i="9" s="1"/>
  <c r="K4" i="9" s="1"/>
  <c r="L4" i="9" s="1"/>
  <c r="M4" i="9" s="1"/>
  <c r="N4" i="9" s="1"/>
  <c r="O4" i="9" s="1"/>
  <c r="P4" i="9" s="1"/>
  <c r="Q4" i="9" s="1"/>
  <c r="R4" i="9" s="1"/>
  <c r="S4" i="9" s="1"/>
  <c r="T4" i="9" s="1"/>
  <c r="B100" i="11"/>
  <c r="B99" i="11"/>
  <c r="B98" i="11"/>
  <c r="B97" i="11"/>
  <c r="B96" i="11"/>
  <c r="B95" i="11"/>
  <c r="B94" i="11"/>
  <c r="B14" i="11" l="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13" i="11"/>
  <c r="KC11" i="7"/>
  <c r="E3" i="5" l="1"/>
  <c r="F3" i="5" s="1"/>
  <c r="G3" i="5" s="1"/>
  <c r="H3" i="5" s="1"/>
  <c r="I3" i="5" s="1"/>
  <c r="J3" i="5" s="1"/>
  <c r="K3" i="5" s="1"/>
  <c r="L3" i="5" s="1"/>
  <c r="M3" i="5" s="1"/>
  <c r="N3" i="5" s="1"/>
  <c r="O3" i="5" s="1"/>
  <c r="P3" i="5" s="1"/>
  <c r="Q3" i="5" s="1"/>
  <c r="R3" i="5" s="1"/>
  <c r="S3" i="5" s="1"/>
  <c r="D3" i="5"/>
  <c r="J15" i="2" l="1"/>
  <c r="I18" i="2"/>
  <c r="I17" i="2"/>
  <c r="I16" i="2"/>
  <c r="I15" i="2"/>
  <c r="H18" i="2"/>
  <c r="H17" i="2"/>
  <c r="H16" i="2"/>
  <c r="H15" i="2"/>
  <c r="G18" i="2"/>
  <c r="G17" i="2"/>
  <c r="G15" i="2"/>
  <c r="G1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BAA8A793-7FEC-43B7-B2C7-B84A0C3EF706}">
      <text>
        <r>
          <rPr>
            <b/>
            <sz val="9"/>
            <color indexed="81"/>
            <rFont val="Tahoma"/>
            <family val="2"/>
          </rPr>
          <t>Updated by IMFNT\ABABII on 2/21/2021 9:05:39 PM
Latest revision date 2/19/2021 12:49:55 PM</t>
        </r>
      </text>
    </comment>
  </commentList>
</comments>
</file>

<file path=xl/sharedStrings.xml><?xml version="1.0" encoding="utf-8"?>
<sst xmlns="http://schemas.openxmlformats.org/spreadsheetml/2006/main" count="566" uniqueCount="493">
  <si>
    <t>Agriculture, Forestry &amp; Fishing</t>
  </si>
  <si>
    <t>Mining &amp; Quarrying</t>
  </si>
  <si>
    <t>Manufacture</t>
  </si>
  <si>
    <t>Electricity &amp; Water Supply</t>
  </si>
  <si>
    <t>Construction</t>
  </si>
  <si>
    <t>Wholesale &amp; Retail Trade; Repair and Installation of Machinery</t>
  </si>
  <si>
    <t>Hotels and Restaurants</t>
  </si>
  <si>
    <t>Transport, Storage &amp;  Communication</t>
  </si>
  <si>
    <t>Finance &amp; Insurance Services</t>
  </si>
  <si>
    <t>Real Estate, Renting &amp; Business Services</t>
  </si>
  <si>
    <t>Government Services</t>
  </si>
  <si>
    <t>Other Services</t>
  </si>
  <si>
    <t>JAM</t>
  </si>
  <si>
    <t>Country_Code</t>
  </si>
  <si>
    <t>Country_Name</t>
  </si>
  <si>
    <t>Jamaica</t>
  </si>
  <si>
    <t>AOTVSO_cto</t>
  </si>
  <si>
    <t>Consolidation_Method</t>
  </si>
  <si>
    <t>Sum</t>
  </si>
  <si>
    <t>Descriptor</t>
  </si>
  <si>
    <t>Stayover arrivals Total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</si>
  <si>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</si>
  <si>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</si>
  <si>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</si>
  <si>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</si>
  <si>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</si>
  <si>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</si>
  <si>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</si>
  <si>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</si>
  <si>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</si>
  <si>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</si>
  <si>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</si>
  <si>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</si>
  <si>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</si>
  <si>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</si>
  <si>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</si>
  <si>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</si>
  <si>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</si>
  <si>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</si>
  <si>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</si>
  <si>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</si>
  <si>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</si>
  <si>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</si>
  <si>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</si>
  <si>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</si>
  <si>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</si>
  <si>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</si>
  <si>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</si>
  <si>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</si>
  <si>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</si>
  <si>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</si>
  <si>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</si>
  <si>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</si>
  <si>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</si>
  <si>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</si>
  <si>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</si>
  <si>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</si>
  <si>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</si>
  <si>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</si>
  <si>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</si>
  <si>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</si>
  <si>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Q1</t>
  </si>
  <si>
    <t>Q2</t>
  </si>
  <si>
    <t>Q3</t>
  </si>
  <si>
    <t>Q4</t>
  </si>
  <si>
    <t>BANK OF JAMAICA STATISTICS DEPARTMENT</t>
  </si>
  <si>
    <t>Table Code:</t>
  </si>
  <si>
    <t>ES.RMT.00C</t>
  </si>
  <si>
    <t>Category:</t>
  </si>
  <si>
    <t>Remittances</t>
  </si>
  <si>
    <t>Table Name:</t>
  </si>
  <si>
    <t>Inflows and Outflows</t>
  </si>
  <si>
    <t>Data Range:</t>
  </si>
  <si>
    <t>Jan 2008 - Apr 2021</t>
  </si>
  <si>
    <t>Frequency:</t>
  </si>
  <si>
    <t>Monthly</t>
  </si>
  <si>
    <t>Units:</t>
  </si>
  <si>
    <t>USD Millions</t>
  </si>
  <si>
    <t>Updated:</t>
  </si>
  <si>
    <t>Next business day after end of reporting month</t>
  </si>
  <si>
    <r>
      <t xml:space="preserve">For all your data needs or queries, email </t>
    </r>
    <r>
      <rPr>
        <b/>
        <sz val="11"/>
        <color indexed="44"/>
        <rFont val="Calibri"/>
        <family val="2"/>
      </rPr>
      <t>data@boj.org.jm</t>
    </r>
  </si>
  <si>
    <t>Date</t>
  </si>
  <si>
    <t>PRIVATE SECTOR TRANSFERS (Including Remittances)</t>
  </si>
  <si>
    <t>Inflows</t>
  </si>
  <si>
    <t>Outflows</t>
  </si>
  <si>
    <t xml:space="preserve">  Net Transfers</t>
  </si>
  <si>
    <t xml:space="preserve">     Remittances</t>
  </si>
  <si>
    <t>Other Transfers</t>
  </si>
  <si>
    <t xml:space="preserve">  Total Inflows</t>
  </si>
  <si>
    <t xml:space="preserve">     Other Transfers</t>
  </si>
  <si>
    <t xml:space="preserve">  Total Outflows</t>
  </si>
  <si>
    <t xml:space="preserve">        Remittance Companies</t>
  </si>
  <si>
    <t xml:space="preserve">    Other Remittances</t>
  </si>
  <si>
    <t xml:space="preserve">    Overall Remittances</t>
  </si>
  <si>
    <t xml:space="preserve">   Other  Remittances</t>
  </si>
  <si>
    <t xml:space="preserve">   Overall Remittances</t>
  </si>
  <si>
    <t>primary balance</t>
  </si>
  <si>
    <t>Overall balance</t>
  </si>
  <si>
    <t>Public debt</t>
  </si>
  <si>
    <t>Policy rates</t>
  </si>
  <si>
    <t>Inflation</t>
  </si>
  <si>
    <t>End of Period</t>
  </si>
  <si>
    <t>Rate (%)</t>
  </si>
  <si>
    <t>EcDatabase</t>
  </si>
  <si>
    <t>Series_code</t>
  </si>
  <si>
    <t>Country</t>
  </si>
  <si>
    <t>Indicator</t>
  </si>
  <si>
    <t>Frequency</t>
  </si>
  <si>
    <t>Scale</t>
  </si>
  <si>
    <t>Display_scale</t>
  </si>
  <si>
    <t>1995M10</t>
  </si>
  <si>
    <t>1995M11</t>
  </si>
  <si>
    <t>1995M12</t>
  </si>
  <si>
    <t>1996M1</t>
  </si>
  <si>
    <t>1996M2</t>
  </si>
  <si>
    <t>1996M3</t>
  </si>
  <si>
    <t>1996M4</t>
  </si>
  <si>
    <t>1996M5</t>
  </si>
  <si>
    <t>1996M6</t>
  </si>
  <si>
    <t>1996M7</t>
  </si>
  <si>
    <t>1996M8</t>
  </si>
  <si>
    <t>1996M9</t>
  </si>
  <si>
    <t>1996M10</t>
  </si>
  <si>
    <t>1996M11</t>
  </si>
  <si>
    <t>1996M12</t>
  </si>
  <si>
    <t>1997M1</t>
  </si>
  <si>
    <t>1997M2</t>
  </si>
  <si>
    <t>1997M3</t>
  </si>
  <si>
    <t>1997M4</t>
  </si>
  <si>
    <t>1997M5</t>
  </si>
  <si>
    <t>1997M6</t>
  </si>
  <si>
    <t>1997M7</t>
  </si>
  <si>
    <t>1997M8</t>
  </si>
  <si>
    <t>1997M9</t>
  </si>
  <si>
    <t>1997M10</t>
  </si>
  <si>
    <t>1997M11</t>
  </si>
  <si>
    <t>1997M12</t>
  </si>
  <si>
    <t>1998M1</t>
  </si>
  <si>
    <t>1998M2</t>
  </si>
  <si>
    <t>1998M3</t>
  </si>
  <si>
    <t>1998M4</t>
  </si>
  <si>
    <t>1998M5</t>
  </si>
  <si>
    <t>1998M6</t>
  </si>
  <si>
    <t>1998M7</t>
  </si>
  <si>
    <t>1998M8</t>
  </si>
  <si>
    <t>1998M9</t>
  </si>
  <si>
    <t>1998M10</t>
  </si>
  <si>
    <t>1998M11</t>
  </si>
  <si>
    <t>1998M12</t>
  </si>
  <si>
    <t>1999M1</t>
  </si>
  <si>
    <t>1999M2</t>
  </si>
  <si>
    <t>1999M3</t>
  </si>
  <si>
    <t>1999M4</t>
  </si>
  <si>
    <t>1999M5</t>
  </si>
  <si>
    <t>1999M6</t>
  </si>
  <si>
    <t>1999M7</t>
  </si>
  <si>
    <t>1999M8</t>
  </si>
  <si>
    <t>1999M9</t>
  </si>
  <si>
    <t>1999M10</t>
  </si>
  <si>
    <t>1999M11</t>
  </si>
  <si>
    <t>1999M12</t>
  </si>
  <si>
    <t>2000M1</t>
  </si>
  <si>
    <t>2000M2</t>
  </si>
  <si>
    <t>2000M3</t>
  </si>
  <si>
    <t>2000M4</t>
  </si>
  <si>
    <t>2000M5</t>
  </si>
  <si>
    <t>2000M6</t>
  </si>
  <si>
    <t>2000M7</t>
  </si>
  <si>
    <t>2000M8</t>
  </si>
  <si>
    <t>2000M9</t>
  </si>
  <si>
    <t>2000M10</t>
  </si>
  <si>
    <t>2000M11</t>
  </si>
  <si>
    <t>2000M12</t>
  </si>
  <si>
    <t>2001M1</t>
  </si>
  <si>
    <t>2001M2</t>
  </si>
  <si>
    <t>2001M3</t>
  </si>
  <si>
    <t>2001M4</t>
  </si>
  <si>
    <t>2001M5</t>
  </si>
  <si>
    <t>2001M6</t>
  </si>
  <si>
    <t>2001M7</t>
  </si>
  <si>
    <t>2001M8</t>
  </si>
  <si>
    <t>2001M9</t>
  </si>
  <si>
    <t>2001M10</t>
  </si>
  <si>
    <t>2001M11</t>
  </si>
  <si>
    <t>2001M12</t>
  </si>
  <si>
    <t>2002M1</t>
  </si>
  <si>
    <t>2002M2</t>
  </si>
  <si>
    <t>2002M3</t>
  </si>
  <si>
    <t>2002M4</t>
  </si>
  <si>
    <t>2002M5</t>
  </si>
  <si>
    <t>2002M6</t>
  </si>
  <si>
    <t>2002M7</t>
  </si>
  <si>
    <t>2002M8</t>
  </si>
  <si>
    <t>2002M9</t>
  </si>
  <si>
    <t>2002M10</t>
  </si>
  <si>
    <t>2002M11</t>
  </si>
  <si>
    <t>2002M12</t>
  </si>
  <si>
    <t>2003M1</t>
  </si>
  <si>
    <t>2003M2</t>
  </si>
  <si>
    <t>2003M3</t>
  </si>
  <si>
    <t>2003M4</t>
  </si>
  <si>
    <t>2003M5</t>
  </si>
  <si>
    <t>2003M6</t>
  </si>
  <si>
    <t>2003M7</t>
  </si>
  <si>
    <t>2003M8</t>
  </si>
  <si>
    <t>2003M9</t>
  </si>
  <si>
    <t>2003M10</t>
  </si>
  <si>
    <t>2003M11</t>
  </si>
  <si>
    <t>2003M12</t>
  </si>
  <si>
    <t>2004M1</t>
  </si>
  <si>
    <t>2004M2</t>
  </si>
  <si>
    <t>2004M3</t>
  </si>
  <si>
    <t>2004M4</t>
  </si>
  <si>
    <t>2004M5</t>
  </si>
  <si>
    <t>2004M6</t>
  </si>
  <si>
    <t>2004M7</t>
  </si>
  <si>
    <t>2004M8</t>
  </si>
  <si>
    <t>2004M9</t>
  </si>
  <si>
    <t>2004M10</t>
  </si>
  <si>
    <t>2004M11</t>
  </si>
  <si>
    <t>2004M12</t>
  </si>
  <si>
    <t>2005M1</t>
  </si>
  <si>
    <t>2005M2</t>
  </si>
  <si>
    <t>2005M3</t>
  </si>
  <si>
    <t>2005M4</t>
  </si>
  <si>
    <t>2005M5</t>
  </si>
  <si>
    <t>2005M6</t>
  </si>
  <si>
    <t>2005M7</t>
  </si>
  <si>
    <t>2005M8</t>
  </si>
  <si>
    <t>2005M9</t>
  </si>
  <si>
    <t>2005M10</t>
  </si>
  <si>
    <t>2005M11</t>
  </si>
  <si>
    <t>2005M12</t>
  </si>
  <si>
    <t>2006M1</t>
  </si>
  <si>
    <t>2006M2</t>
  </si>
  <si>
    <t>2006M3</t>
  </si>
  <si>
    <t>2006M4</t>
  </si>
  <si>
    <t>2006M5</t>
  </si>
  <si>
    <t>2006M6</t>
  </si>
  <si>
    <t>2006M7</t>
  </si>
  <si>
    <t>2006M8</t>
  </si>
  <si>
    <t>2006M9</t>
  </si>
  <si>
    <t>2006M10</t>
  </si>
  <si>
    <t>2006M11</t>
  </si>
  <si>
    <t>2006M12</t>
  </si>
  <si>
    <t>2007M1</t>
  </si>
  <si>
    <t>2007M2</t>
  </si>
  <si>
    <t>2007M3</t>
  </si>
  <si>
    <t>2007M4</t>
  </si>
  <si>
    <t>2007M5</t>
  </si>
  <si>
    <t>2007M6</t>
  </si>
  <si>
    <t>2007M7</t>
  </si>
  <si>
    <t>2007M8</t>
  </si>
  <si>
    <t>2007M9</t>
  </si>
  <si>
    <t>2007M10</t>
  </si>
  <si>
    <t>2007M11</t>
  </si>
  <si>
    <t>2007M12</t>
  </si>
  <si>
    <t>2008M1</t>
  </si>
  <si>
    <t>2008M2</t>
  </si>
  <si>
    <t>2008M3</t>
  </si>
  <si>
    <t>2008M4</t>
  </si>
  <si>
    <t>2008M5</t>
  </si>
  <si>
    <t>2008M6</t>
  </si>
  <si>
    <t>2008M7</t>
  </si>
  <si>
    <t>2008M8</t>
  </si>
  <si>
    <t>2008M9</t>
  </si>
  <si>
    <t>2008M10</t>
  </si>
  <si>
    <t>2008M11</t>
  </si>
  <si>
    <t>2008M12</t>
  </si>
  <si>
    <t>2009M1</t>
  </si>
  <si>
    <t>2009M2</t>
  </si>
  <si>
    <t>2009M3</t>
  </si>
  <si>
    <t>2009M4</t>
  </si>
  <si>
    <t>2009M5</t>
  </si>
  <si>
    <t>2009M6</t>
  </si>
  <si>
    <t>2009M7</t>
  </si>
  <si>
    <t>2009M8</t>
  </si>
  <si>
    <t>2009M9</t>
  </si>
  <si>
    <t>2009M10</t>
  </si>
  <si>
    <t>2009M11</t>
  </si>
  <si>
    <t>2009M12</t>
  </si>
  <si>
    <t>2010M1</t>
  </si>
  <si>
    <t>2010M2</t>
  </si>
  <si>
    <t>2010M3</t>
  </si>
  <si>
    <t>2010M4</t>
  </si>
  <si>
    <t>2010M5</t>
  </si>
  <si>
    <t>2010M6</t>
  </si>
  <si>
    <t>2010M7</t>
  </si>
  <si>
    <t>2010M8</t>
  </si>
  <si>
    <t>2010M9</t>
  </si>
  <si>
    <t>2010M10</t>
  </si>
  <si>
    <t>2010M11</t>
  </si>
  <si>
    <t>2010M12</t>
  </si>
  <si>
    <t>2011M1</t>
  </si>
  <si>
    <t>2011M2</t>
  </si>
  <si>
    <t>2011M3</t>
  </si>
  <si>
    <t>2011M4</t>
  </si>
  <si>
    <t>2011M5</t>
  </si>
  <si>
    <t>2011M6</t>
  </si>
  <si>
    <t>2011M7</t>
  </si>
  <si>
    <t>2011M8</t>
  </si>
  <si>
    <t>2011M9</t>
  </si>
  <si>
    <t>2011M10</t>
  </si>
  <si>
    <t>2011M11</t>
  </si>
  <si>
    <t>2011M12</t>
  </si>
  <si>
    <t>2012M1</t>
  </si>
  <si>
    <t>2012M2</t>
  </si>
  <si>
    <t>2012M3</t>
  </si>
  <si>
    <t>2012M4</t>
  </si>
  <si>
    <t>2012M5</t>
  </si>
  <si>
    <t>2012M6</t>
  </si>
  <si>
    <t>2012M7</t>
  </si>
  <si>
    <t>2012M8</t>
  </si>
  <si>
    <t>2012M9</t>
  </si>
  <si>
    <t>2012M10</t>
  </si>
  <si>
    <t>2012M11</t>
  </si>
  <si>
    <t>2012M12</t>
  </si>
  <si>
    <t>2013M1</t>
  </si>
  <si>
    <t>2013M2</t>
  </si>
  <si>
    <t>2013M3</t>
  </si>
  <si>
    <t>2013M4</t>
  </si>
  <si>
    <t>2013M5</t>
  </si>
  <si>
    <t>2013M6</t>
  </si>
  <si>
    <t>2013M7</t>
  </si>
  <si>
    <t>2013M8</t>
  </si>
  <si>
    <t>2013M9</t>
  </si>
  <si>
    <t>2013M10</t>
  </si>
  <si>
    <t>2013M11</t>
  </si>
  <si>
    <t>2013M12</t>
  </si>
  <si>
    <t>2014M1</t>
  </si>
  <si>
    <t>2014M2</t>
  </si>
  <si>
    <t>2014M3</t>
  </si>
  <si>
    <t>2014M4</t>
  </si>
  <si>
    <t>2014M5</t>
  </si>
  <si>
    <t>2014M6</t>
  </si>
  <si>
    <t>2014M7</t>
  </si>
  <si>
    <t>2014M8</t>
  </si>
  <si>
    <t>2014M9</t>
  </si>
  <si>
    <t>2014M10</t>
  </si>
  <si>
    <t>2014M11</t>
  </si>
  <si>
    <t>2014M12</t>
  </si>
  <si>
    <t>2015M1</t>
  </si>
  <si>
    <t>2015M2</t>
  </si>
  <si>
    <t>2015M3</t>
  </si>
  <si>
    <t>2015M4</t>
  </si>
  <si>
    <t>2015M5</t>
  </si>
  <si>
    <t>2015M6</t>
  </si>
  <si>
    <t>2015M7</t>
  </si>
  <si>
    <t>2015M8</t>
  </si>
  <si>
    <t>2015M9</t>
  </si>
  <si>
    <t>2015M10</t>
  </si>
  <si>
    <t>2015M11</t>
  </si>
  <si>
    <t>2015M12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</si>
  <si>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</si>
  <si>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</si>
  <si>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</si>
  <si>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</si>
  <si>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</si>
  <si>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</si>
  <si>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</si>
  <si>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</si>
  <si>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</si>
  <si>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</si>
  <si>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</si>
  <si>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</si>
  <si>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</si>
  <si>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</si>
  <si>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</si>
  <si>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</si>
  <si>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</si>
  <si>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</si>
  <si>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</si>
  <si>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</si>
  <si>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</si>
  <si>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</si>
  <si>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</si>
  <si>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</si>
  <si>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</si>
  <si>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</si>
  <si>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</si>
  <si>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</si>
  <si>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</si>
  <si>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</si>
  <si>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</si>
  <si>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</si>
  <si>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</si>
  <si>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</si>
  <si>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</si>
  <si>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</si>
  <si>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</si>
  <si>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</si>
  <si>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</si>
  <si>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</si>
  <si>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</si>
  <si>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</si>
  <si>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</si>
  <si>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</si>
  <si>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</si>
  <si>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</si>
  <si>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</si>
  <si>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</si>
  <si>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</si>
  <si>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</si>
  <si>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</si>
  <si>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</si>
  <si>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</si>
  <si>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</si>
  <si>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</si>
  <si>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</si>
  <si>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</si>
  <si>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</si>
  <si>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</si>
  <si>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</si>
  <si>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</si>
  <si>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</si>
  <si>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</si>
  <si>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</si>
  <si>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</si>
  <si>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</si>
  <si>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</si>
  <si>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</si>
  <si>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</si>
  <si>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</si>
  <si>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</si>
  <si>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</si>
  <si>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ID:INS</t>
  </si>
  <si>
    <t>343ENEER_IX.M</t>
  </si>
  <si>
    <t>Nominal Effective Exchange Rate, Trade Partners by Consumer Price Index, Index</t>
  </si>
  <si>
    <t>Units</t>
  </si>
  <si>
    <t>343EREER_IX.M</t>
  </si>
  <si>
    <t>Real Effective Exchange Rate, based on Consumer Price Index, Index</t>
  </si>
  <si>
    <t>3 mo T-bill rate</t>
  </si>
  <si>
    <t>deposit rate (weighted)</t>
  </si>
  <si>
    <t>lending rate (weighted)</t>
  </si>
  <si>
    <t>FS.CB.05.TOT</t>
  </si>
  <si>
    <t>Financial Sector</t>
  </si>
  <si>
    <t>Commercial Banks' Deposits by Type and Customer (Local and Foreign Currency Deposits)</t>
  </si>
  <si>
    <t>Jan 2000 -Jun 2021</t>
  </si>
  <si>
    <t>J$ Millions</t>
  </si>
  <si>
    <t>Last Business Day of the Month Following the Reporting Month</t>
  </si>
  <si>
    <t>For all your data needs or queries, email data@boj.org.jm</t>
  </si>
  <si>
    <t>CENTRAL GOVERNMENT</t>
  </si>
  <si>
    <t>LOCAL GOVERNMENT</t>
  </si>
  <si>
    <t>OTHER PUBLIC ENTITIES</t>
  </si>
  <si>
    <t>SPECIFIED AND OTHER FINANCIAL INSTITUTIONS</t>
  </si>
  <si>
    <t>BUSINESS FIRMS</t>
  </si>
  <si>
    <t>INDIVIDUALS</t>
  </si>
  <si>
    <t>OTHER CUSTOMERS</t>
  </si>
  <si>
    <t>OVERSEAS RESIDENTS</t>
  </si>
  <si>
    <t>GRAND TOTALS</t>
  </si>
  <si>
    <t>Demand</t>
  </si>
  <si>
    <t>Savings</t>
  </si>
  <si>
    <t>Time</t>
  </si>
  <si>
    <t>Total</t>
  </si>
  <si>
    <t>Deposits</t>
  </si>
  <si>
    <t>deposits</t>
  </si>
  <si>
    <t>GDP</t>
  </si>
  <si>
    <t>RATIO</t>
  </si>
  <si>
    <t>Data</t>
  </si>
  <si>
    <t>Tax revenue</t>
  </si>
  <si>
    <t>Direct taxes</t>
  </si>
  <si>
    <t>Indirect</t>
  </si>
  <si>
    <t>Total Revenue</t>
  </si>
  <si>
    <t>Total expenditure</t>
  </si>
  <si>
    <t>Fiscal balance</t>
  </si>
  <si>
    <t>Current spending</t>
  </si>
  <si>
    <t>non-interest spending</t>
  </si>
  <si>
    <t>interest spending</t>
  </si>
  <si>
    <t>Capital spending</t>
  </si>
  <si>
    <t>Overall public sector balance</t>
  </si>
  <si>
    <t>Primary balance</t>
  </si>
  <si>
    <t>Debt</t>
  </si>
  <si>
    <t>Chart 1</t>
  </si>
  <si>
    <t>Year</t>
  </si>
  <si>
    <t>Chart 2</t>
  </si>
  <si>
    <t>Chart 3</t>
  </si>
  <si>
    <t>Indirect taxes</t>
  </si>
  <si>
    <t>Chart 4</t>
  </si>
  <si>
    <t>non-interest current spending</t>
  </si>
  <si>
    <t>chart 5</t>
  </si>
  <si>
    <t>Chart 6</t>
  </si>
  <si>
    <t>Debt (rhs)</t>
  </si>
  <si>
    <t>Primary balance (lhs)</t>
  </si>
  <si>
    <t>Total Expenditure</t>
  </si>
  <si>
    <t>Tax Revenue</t>
  </si>
  <si>
    <t>Direct Taxes</t>
  </si>
  <si>
    <t>Indirect Taxes</t>
  </si>
  <si>
    <t>Interest Spending</t>
  </si>
  <si>
    <t>Capital Spending</t>
  </si>
  <si>
    <t>Fiscal Balance</t>
  </si>
  <si>
    <t>Debt (Rhs)</t>
  </si>
  <si>
    <t>Primary Balance (Lhs)</t>
  </si>
  <si>
    <t>Non-interest Current Spending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</si>
</sst>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"/>
    <numFmt numFmtId="165" formatCode="[$-409]d\-mmm\-yy;@"/>
    <numFmt numFmtId="166" formatCode="#,##0.0"/>
  </numFmts>
  <fonts count="2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6"/>
      <color theme="0"/>
      <name val="Century Schoolbook"/>
      <family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indexed="44"/>
      <name val="Calibri"/>
      <family val="2"/>
    </font>
    <font>
      <u/>
      <sz val="10"/>
      <color indexed="12"/>
      <name val="Arial"/>
      <family val="2"/>
    </font>
    <font>
      <u/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Times New Roman"/>
      <family val="1"/>
    </font>
    <font>
      <sz val="12"/>
      <name val="Bodoni MT"/>
      <family val="1"/>
    </font>
    <font>
      <sz val="12"/>
      <color theme="1"/>
      <name val="Bodoni MT"/>
      <family val="1"/>
    </font>
    <font>
      <b/>
      <sz val="9"/>
      <name val="Arial"/>
      <family val="2"/>
    </font>
    <font>
      <sz val="9"/>
      <color rgb="FF0000FF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B9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4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9" fillId="0" borderId="0"/>
  </cellStyleXfs>
  <cellXfs count="85">
    <xf numFmtId="0" fontId="0" fillId="0" borderId="0" xfId="0"/>
    <xf numFmtId="0" fontId="3" fillId="0" borderId="0" xfId="1" applyFont="1"/>
    <xf numFmtId="2" fontId="0" fillId="0" borderId="0" xfId="0" applyNumberFormat="1"/>
    <xf numFmtId="0" fontId="5" fillId="0" borderId="0" xfId="2" applyFont="1"/>
    <xf numFmtId="1" fontId="0" fillId="0" borderId="0" xfId="0" applyNumberFormat="1"/>
    <xf numFmtId="0" fontId="4" fillId="0" borderId="0" xfId="2"/>
    <xf numFmtId="0" fontId="1" fillId="0" borderId="0" xfId="0" applyFont="1"/>
    <xf numFmtId="0" fontId="0" fillId="2" borderId="0" xfId="0" applyFill="1"/>
    <xf numFmtId="0" fontId="7" fillId="3" borderId="0" xfId="0" applyFont="1" applyFill="1"/>
    <xf numFmtId="0" fontId="0" fillId="4" borderId="0" xfId="0" applyFill="1"/>
    <xf numFmtId="0" fontId="8" fillId="5" borderId="0" xfId="0" applyFont="1" applyFill="1" applyAlignment="1">
      <alignment horizontal="left"/>
    </xf>
    <xf numFmtId="0" fontId="9" fillId="6" borderId="0" xfId="0" applyFont="1" applyFill="1"/>
    <xf numFmtId="0" fontId="10" fillId="6" borderId="0" xfId="0" applyFont="1" applyFill="1"/>
    <xf numFmtId="0" fontId="8" fillId="6" borderId="0" xfId="0" applyFont="1" applyFill="1"/>
    <xf numFmtId="0" fontId="11" fillId="6" borderId="0" xfId="0" applyFont="1" applyFill="1"/>
    <xf numFmtId="165" fontId="9" fillId="6" borderId="0" xfId="0" applyNumberFormat="1" applyFont="1" applyFill="1" applyAlignment="1">
      <alignment horizontal="left"/>
    </xf>
    <xf numFmtId="0" fontId="9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9" fillId="6" borderId="0" xfId="0" applyFont="1" applyFill="1" applyAlignment="1">
      <alignment horizontal="left"/>
    </xf>
    <xf numFmtId="0" fontId="8" fillId="6" borderId="0" xfId="0" applyFont="1" applyFill="1" applyAlignment="1">
      <alignment horizontal="center"/>
    </xf>
    <xf numFmtId="0" fontId="12" fillId="3" borderId="0" xfId="0" applyFont="1" applyFill="1" applyAlignment="1">
      <alignment horizontal="left"/>
    </xf>
    <xf numFmtId="0" fontId="15" fillId="3" borderId="0" xfId="3" applyFont="1" applyFill="1" applyAlignment="1" applyProtection="1">
      <alignment horizontal="left"/>
    </xf>
    <xf numFmtId="0" fontId="12" fillId="3" borderId="0" xfId="0" applyFont="1" applyFill="1" applyAlignment="1">
      <alignment horizontal="center"/>
    </xf>
    <xf numFmtId="0" fontId="16" fillId="3" borderId="0" xfId="0" applyFont="1" applyFill="1" applyAlignment="1">
      <alignment horizontal="center"/>
    </xf>
    <xf numFmtId="0" fontId="16" fillId="3" borderId="0" xfId="0" applyFont="1" applyFill="1" applyAlignment="1">
      <alignment horizontal="left"/>
    </xf>
    <xf numFmtId="0" fontId="2" fillId="4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17" fontId="17" fillId="3" borderId="0" xfId="0" applyNumberFormat="1" applyFont="1" applyFill="1" applyAlignment="1">
      <alignment horizontal="center"/>
    </xf>
    <xf numFmtId="166" fontId="0" fillId="4" borderId="3" xfId="0" applyNumberFormat="1" applyFill="1" applyBorder="1" applyAlignment="1">
      <alignment horizontal="center"/>
    </xf>
    <xf numFmtId="166" fontId="18" fillId="12" borderId="3" xfId="0" applyNumberFormat="1" applyFont="1" applyFill="1" applyBorder="1" applyAlignment="1">
      <alignment horizontal="center"/>
    </xf>
    <xf numFmtId="166" fontId="0" fillId="4" borderId="0" xfId="0" applyNumberFormat="1" applyFill="1"/>
    <xf numFmtId="164" fontId="0" fillId="0" borderId="0" xfId="0" applyNumberFormat="1"/>
    <xf numFmtId="0" fontId="20" fillId="4" borderId="0" xfId="0" applyFont="1" applyFill="1" applyAlignment="1">
      <alignment horizontal="left"/>
    </xf>
    <xf numFmtId="0" fontId="20" fillId="4" borderId="0" xfId="0" applyFont="1" applyFill="1" applyAlignment="1">
      <alignment horizontal="right"/>
    </xf>
    <xf numFmtId="0" fontId="21" fillId="4" borderId="0" xfId="0" applyFont="1" applyFill="1"/>
    <xf numFmtId="0" fontId="16" fillId="9" borderId="4" xfId="0" applyFont="1" applyFill="1" applyBorder="1" applyAlignment="1">
      <alignment vertical="center" wrapText="1"/>
    </xf>
    <xf numFmtId="0" fontId="18" fillId="13" borderId="5" xfId="0" applyFont="1" applyFill="1" applyBorder="1" applyAlignment="1">
      <alignment horizontal="center" vertical="center" wrapText="1"/>
    </xf>
    <xf numFmtId="17" fontId="10" fillId="4" borderId="6" xfId="0" applyNumberFormat="1" applyFont="1" applyFill="1" applyBorder="1" applyAlignment="1">
      <alignment horizontal="center"/>
    </xf>
    <xf numFmtId="2" fontId="10" fillId="4" borderId="7" xfId="0" applyNumberFormat="1" applyFont="1" applyFill="1" applyBorder="1" applyAlignment="1">
      <alignment horizontal="center"/>
    </xf>
    <xf numFmtId="2" fontId="10" fillId="4" borderId="6" xfId="0" applyNumberFormat="1" applyFont="1" applyFill="1" applyBorder="1" applyAlignment="1">
      <alignment horizontal="center"/>
    </xf>
    <xf numFmtId="2" fontId="10" fillId="14" borderId="6" xfId="0" applyNumberFormat="1" applyFont="1" applyFill="1" applyBorder="1" applyAlignment="1">
      <alignment horizontal="center"/>
    </xf>
    <xf numFmtId="2" fontId="10" fillId="15" borderId="6" xfId="0" applyNumberFormat="1" applyFont="1" applyFill="1" applyBorder="1" applyAlignment="1">
      <alignment horizontal="center"/>
    </xf>
    <xf numFmtId="2" fontId="0" fillId="4" borderId="0" xfId="0" applyNumberFormat="1" applyFill="1"/>
    <xf numFmtId="15" fontId="10" fillId="4" borderId="6" xfId="0" applyNumberFormat="1" applyFont="1" applyFill="1" applyBorder="1" applyAlignment="1">
      <alignment horizontal="center"/>
    </xf>
    <xf numFmtId="2" fontId="9" fillId="4" borderId="0" xfId="0" applyNumberFormat="1" applyFont="1" applyFill="1" applyAlignment="1">
      <alignment horizontal="right"/>
    </xf>
    <xf numFmtId="17" fontId="10" fillId="4" borderId="8" xfId="0" applyNumberFormat="1" applyFont="1" applyFill="1" applyBorder="1" applyAlignment="1">
      <alignment horizontal="center"/>
    </xf>
    <xf numFmtId="2" fontId="10" fillId="4" borderId="8" xfId="0" applyNumberFormat="1" applyFont="1" applyFill="1" applyBorder="1" applyAlignment="1">
      <alignment horizontal="center"/>
    </xf>
    <xf numFmtId="2" fontId="0" fillId="16" borderId="0" xfId="0" applyNumberFormat="1" applyFill="1"/>
    <xf numFmtId="0" fontId="22" fillId="17" borderId="0" xfId="4" applyFont="1" applyFill="1" applyAlignment="1">
      <alignment horizontal="left"/>
    </xf>
    <xf numFmtId="0" fontId="22" fillId="17" borderId="0" xfId="5" applyFont="1" applyFill="1" applyAlignment="1">
      <alignment horizontal="right"/>
    </xf>
    <xf numFmtId="0" fontId="22" fillId="17" borderId="0" xfId="5" applyFont="1" applyFill="1"/>
    <xf numFmtId="2" fontId="3" fillId="0" borderId="0" xfId="4" applyNumberFormat="1" applyFont="1" applyAlignment="1">
      <alignment horizontal="left"/>
    </xf>
    <xf numFmtId="2" fontId="3" fillId="0" borderId="0" xfId="5" applyNumberFormat="1" applyFont="1"/>
    <xf numFmtId="2" fontId="3" fillId="0" borderId="0" xfId="5" quotePrefix="1" applyNumberFormat="1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5" applyFont="1"/>
    <xf numFmtId="0" fontId="23" fillId="0" borderId="0" xfId="5" applyFont="1"/>
    <xf numFmtId="2" fontId="23" fillId="0" borderId="0" xfId="5" applyNumberFormat="1" applyFont="1"/>
    <xf numFmtId="0" fontId="18" fillId="13" borderId="0" xfId="0" applyFont="1" applyFill="1" applyBorder="1" applyAlignment="1">
      <alignment horizontal="center" vertical="center" wrapText="1"/>
    </xf>
    <xf numFmtId="2" fontId="10" fillId="4" borderId="0" xfId="0" applyNumberFormat="1" applyFont="1" applyFill="1" applyBorder="1" applyAlignment="1">
      <alignment horizontal="center"/>
    </xf>
    <xf numFmtId="2" fontId="10" fillId="14" borderId="0" xfId="0" applyNumberFormat="1" applyFont="1" applyFill="1" applyBorder="1" applyAlignment="1">
      <alignment horizontal="center"/>
    </xf>
    <xf numFmtId="2" fontId="10" fillId="15" borderId="0" xfId="0" applyNumberFormat="1" applyFont="1" applyFill="1" applyBorder="1" applyAlignment="1">
      <alignment horizontal="center"/>
    </xf>
    <xf numFmtId="0" fontId="20" fillId="4" borderId="0" xfId="0" applyFont="1" applyFill="1" applyAlignment="1">
      <alignment horizontal="left" wrapText="1"/>
    </xf>
    <xf numFmtId="0" fontId="20" fillId="4" borderId="0" xfId="0" applyFont="1" applyFill="1" applyAlignment="1">
      <alignment horizontal="left" vertical="top" wrapText="1"/>
    </xf>
    <xf numFmtId="17" fontId="0" fillId="0" borderId="0" xfId="0" applyNumberFormat="1"/>
    <xf numFmtId="2" fontId="1" fillId="0" borderId="0" xfId="0" applyNumberFormat="1" applyFont="1"/>
    <xf numFmtId="0" fontId="0" fillId="12" borderId="0" xfId="0" applyFill="1"/>
    <xf numFmtId="0" fontId="1" fillId="12" borderId="0" xfId="0" applyFont="1" applyFill="1"/>
    <xf numFmtId="0" fontId="0" fillId="0" borderId="2" xfId="0" applyBorder="1"/>
    <xf numFmtId="2" fontId="0" fillId="0" borderId="2" xfId="0" applyNumberFormat="1" applyBorder="1"/>
    <xf numFmtId="0" fontId="1" fillId="0" borderId="2" xfId="0" applyFont="1" applyBorder="1"/>
    <xf numFmtId="0" fontId="0" fillId="0" borderId="0" xfId="0" applyAlignment="1">
      <alignment horizontal="left" indent="1"/>
    </xf>
    <xf numFmtId="0" fontId="17" fillId="9" borderId="0" xfId="0" applyFont="1" applyFill="1" applyAlignment="1" applyProtection="1">
      <alignment horizontal="center" vertical="center"/>
      <protection locked="0"/>
    </xf>
    <xf numFmtId="0" fontId="17" fillId="9" borderId="2" xfId="0" applyFont="1" applyFill="1" applyBorder="1" applyAlignment="1" applyProtection="1">
      <alignment horizontal="center" vertical="center"/>
      <protection locked="0"/>
    </xf>
    <xf numFmtId="0" fontId="17" fillId="3" borderId="0" xfId="0" applyFont="1" applyFill="1" applyAlignment="1">
      <alignment horizontal="center" vertical="center"/>
    </xf>
    <xf numFmtId="0" fontId="17" fillId="7" borderId="1" xfId="0" applyFont="1" applyFill="1" applyBorder="1" applyAlignment="1" applyProtection="1">
      <alignment horizontal="center" vertical="center"/>
      <protection locked="0"/>
    </xf>
    <xf numFmtId="0" fontId="17" fillId="7" borderId="0" xfId="0" applyFont="1" applyFill="1" applyAlignment="1" applyProtection="1">
      <alignment horizontal="center" vertical="center"/>
      <protection locked="0"/>
    </xf>
    <xf numFmtId="0" fontId="17" fillId="8" borderId="0" xfId="0" applyFont="1" applyFill="1" applyAlignment="1" applyProtection="1">
      <alignment horizontal="center" vertical="center"/>
      <protection locked="0"/>
    </xf>
    <xf numFmtId="0" fontId="17" fillId="7" borderId="0" xfId="0" applyFont="1" applyFill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0" fontId="17" fillId="10" borderId="0" xfId="0" applyFont="1" applyFill="1" applyAlignment="1" applyProtection="1">
      <alignment horizontal="center" vertical="center"/>
      <protection locked="0"/>
    </xf>
    <xf numFmtId="0" fontId="17" fillId="3" borderId="2" xfId="0" applyFont="1" applyFill="1" applyBorder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17" fillId="8" borderId="2" xfId="0" applyFont="1" applyFill="1" applyBorder="1" applyAlignment="1">
      <alignment horizontal="center" vertical="center"/>
    </xf>
  </cellXfs>
  <cellStyles count="6">
    <cellStyle name="Hyperlink" xfId="3" builtinId="8"/>
    <cellStyle name="Normal" xfId="0" builtinId="0"/>
    <cellStyle name="Normal 10" xfId="5" xr:uid="{DCC0AA17-39DC-4F4E-9BB9-91FB093F479A}"/>
    <cellStyle name="Normal 2" xfId="2" xr:uid="{B4AA5C72-74F3-4AD5-AF53-B242E76A61E9}"/>
    <cellStyle name="Normal 2 2 2 4 2" xfId="1" xr:uid="{70C4491C-D885-40BA-BD21-EB0A8DDA4AB6}"/>
    <cellStyle name="Normal_2003 NIP" xfId="4" xr:uid="{CA1C85CE-17E5-4869-A5B4-B127025A873D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182255-B83A-48B5-B713-FFF07E4B03C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200" b="1"/>
              <a:t>Sectoral growth rates</a:t>
            </a:r>
          </a:p>
          <a:p>
            <a:pPr>
              <a:defRPr sz="1200" b="1"/>
            </a:pPr>
            <a:r>
              <a:rPr lang="en-US" sz="1200" b="1"/>
              <a:t>(in</a:t>
            </a:r>
            <a:r>
              <a:rPr lang="en-US" sz="1200" b="1" baseline="0"/>
              <a:t> percent; y-o-y 2019:Q4 to 2020:Q4)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1'!$C$4:$C$15</c:f>
              <c:strCache>
                <c:ptCount val="12"/>
                <c:pt idx="0">
                  <c:v>Construction</c:v>
                </c:pt>
                <c:pt idx="1">
                  <c:v>Electricity &amp; Water Supply</c:v>
                </c:pt>
                <c:pt idx="2">
                  <c:v>Government Services</c:v>
                </c:pt>
                <c:pt idx="3">
                  <c:v>Agriculture, Forestry &amp; Fishing</c:v>
                </c:pt>
                <c:pt idx="4">
                  <c:v>Real Estate, Renting &amp; Business Services</c:v>
                </c:pt>
                <c:pt idx="5">
                  <c:v>Mining &amp; Quarrying</c:v>
                </c:pt>
                <c:pt idx="6">
                  <c:v>Finance &amp; Insurance Services</c:v>
                </c:pt>
                <c:pt idx="7">
                  <c:v>Manufacture</c:v>
                </c:pt>
                <c:pt idx="8">
                  <c:v>Wholesale &amp; Retail Trade; Repair and Installation of Machinery</c:v>
                </c:pt>
                <c:pt idx="9">
                  <c:v>Transport, Storage &amp;  Communication</c:v>
                </c:pt>
                <c:pt idx="10">
                  <c:v>Other Services</c:v>
                </c:pt>
                <c:pt idx="11">
                  <c:v>Hotels and Restaurants</c:v>
                </c:pt>
              </c:strCache>
            </c:strRef>
          </c:cat>
          <c:val>
            <c:numRef>
              <c:f>'chart 1'!$D$4:$D$15</c:f>
              <c:numCache>
                <c:formatCode>0.00</c:formatCode>
                <c:ptCount val="12"/>
                <c:pt idx="0">
                  <c:v>12.857106319854728</c:v>
                </c:pt>
                <c:pt idx="1">
                  <c:v>7.6211894052973461</c:v>
                </c:pt>
                <c:pt idx="2">
                  <c:v>6.6581002941872747</c:v>
                </c:pt>
                <c:pt idx="3">
                  <c:v>4.5841300191204581</c:v>
                </c:pt>
                <c:pt idx="4">
                  <c:v>1.0409970346100472</c:v>
                </c:pt>
                <c:pt idx="5">
                  <c:v>0.26788528206744822</c:v>
                </c:pt>
                <c:pt idx="6">
                  <c:v>-0.11081241919927987</c:v>
                </c:pt>
                <c:pt idx="7">
                  <c:v>-2.0877245809495126</c:v>
                </c:pt>
                <c:pt idx="8">
                  <c:v>-4.2896220621894692</c:v>
                </c:pt>
                <c:pt idx="9">
                  <c:v>-11.277058063096511</c:v>
                </c:pt>
                <c:pt idx="10">
                  <c:v>-17.137152299641969</c:v>
                </c:pt>
                <c:pt idx="11">
                  <c:v>-49.385649997471816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27-4A9C-828F-FA3168F3561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57"/>
        <c:overlap val="16"/>
        <c:axId val="1086671631"/>
        <c:axId val="1086659567"/>
      </c:barChart>
      <c:catAx>
        <c:axId val="108667163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659567"/>
        <c:crosses val="autoZero"/>
        <c:auto val="1"/>
        <c:lblAlgn val="ctr"/>
        <c:lblOffset val="100"/>
        <c:noMultiLvlLbl val="0"/>
      </c:catAx>
      <c:valAx>
        <c:axId val="1086659567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671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/>
              <a:t>Tourism Stayover Arrivals, 2018:Q1 - 2021:Q2</a:t>
            </a:r>
          </a:p>
        </c:rich>
      </c:tx>
      <c:layout>
        <c:manualLayout>
          <c:xMode val="edge"/>
          <c:yMode val="edge"/>
          <c:x val="0.22044444444444444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2'!$F$15</c:f>
              <c:strCache>
                <c:ptCount val="1"/>
                <c:pt idx="0">
                  <c:v>Q1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'chart 2'!$G$14:$J$14</c:f>
              <c:numCache>
                <c:formatCode>General</c:formatCode>
                <c:ptCount val="4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</c:numCache>
            </c:numRef>
          </c:cat>
          <c:val>
            <c:numRef>
              <c:f>'chart 2'!$G$15:$J$15</c:f>
              <c:numCache>
                <c:formatCode>General</c:formatCode>
                <c:ptCount val="4"/>
                <c:pt idx="0">
                  <c:v>625002</c:v>
                </c:pt>
                <c:pt idx="1">
                  <c:v>708297</c:v>
                </c:pt>
                <c:pt idx="2">
                  <c:v>574131</c:v>
                </c:pt>
                <c:pt idx="3">
                  <c:v>161275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AA-4084-882C-9BD8096FE5C6}"/>
            </c:ext>
          </c:extLst>
        </c:ser>
        <c:ser>
          <c:idx val="1"/>
          <c:order val="1"/>
          <c:tx>
            <c:strRef>
              <c:f>'chart 2'!$F$16</c:f>
              <c:strCache>
                <c:ptCount val="1"/>
                <c:pt idx="0">
                  <c:v>Q2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'chart 2'!$G$14:$J$14</c:f>
              <c:numCache>
                <c:formatCode>General</c:formatCode>
                <c:ptCount val="4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</c:numCache>
            </c:numRef>
          </c:cat>
          <c:val>
            <c:numRef>
              <c:f>'chart 2'!$G$16:$J$16</c:f>
              <c:numCache>
                <c:formatCode>General</c:formatCode>
                <c:ptCount val="4"/>
                <c:pt idx="0">
                  <c:v>629486</c:v>
                </c:pt>
                <c:pt idx="1">
                  <c:v>682386</c:v>
                </c:pt>
                <c:pt idx="2">
                  <c:v>7188</c:v>
                </c:pt>
                <c:pt idx="3">
                  <c:v>243000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AA-4084-882C-9BD8096FE5C6}"/>
            </c:ext>
          </c:extLst>
        </c:ser>
        <c:ser>
          <c:idx val="2"/>
          <c:order val="2"/>
          <c:tx>
            <c:strRef>
              <c:f>'chart 2'!$F$17</c:f>
              <c:strCache>
                <c:ptCount val="1"/>
                <c:pt idx="0">
                  <c:v>Q3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'chart 2'!$G$14:$J$14</c:f>
              <c:numCache>
                <c:formatCode>General</c:formatCode>
                <c:ptCount val="4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</c:numCache>
            </c:numRef>
          </c:cat>
          <c:val>
            <c:numRef>
              <c:f>'chart 2'!$G$17:$J$17</c:f>
              <c:numCache>
                <c:formatCode>General</c:formatCode>
                <c:ptCount val="4"/>
                <c:pt idx="0">
                  <c:v>597994</c:v>
                </c:pt>
                <c:pt idx="1">
                  <c:v>629825</c:v>
                </c:pt>
                <c:pt idx="2">
                  <c:v>114402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AA-4084-882C-9BD8096FE5C6}"/>
            </c:ext>
          </c:extLst>
        </c:ser>
        <c:ser>
          <c:idx val="3"/>
          <c:order val="3"/>
          <c:tx>
            <c:strRef>
              <c:f>'chart 2'!$F$18</c:f>
              <c:strCache>
                <c:ptCount val="1"/>
                <c:pt idx="0">
                  <c:v>Q4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'chart 2'!$G$14:$J$14</c:f>
              <c:numCache>
                <c:formatCode>General</c:formatCode>
                <c:ptCount val="4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</c:numCache>
            </c:numRef>
          </c:cat>
          <c:val>
            <c:numRef>
              <c:f>'chart 2'!$G$18:$J$18</c:f>
              <c:numCache>
                <c:formatCode>General</c:formatCode>
                <c:ptCount val="4"/>
                <c:pt idx="0">
                  <c:v>620245</c:v>
                </c:pt>
                <c:pt idx="1">
                  <c:v>660412</c:v>
                </c:pt>
                <c:pt idx="2">
                  <c:v>184683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AA-4084-882C-9BD8096FE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7809311"/>
        <c:axId val="1347804735"/>
      </c:barChart>
      <c:catAx>
        <c:axId val="1347809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47804735"/>
        <c:crosses val="autoZero"/>
        <c:auto val="1"/>
        <c:lblAlgn val="ctr"/>
        <c:lblOffset val="100"/>
        <c:noMultiLvlLbl val="0"/>
      </c:catAx>
      <c:valAx>
        <c:axId val="134780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47809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966622922134733"/>
          <c:y val="0.89838181685622631"/>
          <c:w val="0.38066754155730531"/>
          <c:h val="7.38404053659959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REMITTANCES!$A$15:$A$174</c:f>
              <c:numCache>
                <c:formatCode>mmm\-yy</c:formatCode>
                <c:ptCount val="160"/>
                <c:pt idx="0">
                  <c:v>39448</c:v>
                </c:pt>
                <c:pt idx="1">
                  <c:v>39479</c:v>
                </c:pt>
                <c:pt idx="2">
                  <c:v>39508</c:v>
                </c:pt>
                <c:pt idx="3">
                  <c:v>39539</c:v>
                </c:pt>
                <c:pt idx="4">
                  <c:v>39569</c:v>
                </c:pt>
                <c:pt idx="5">
                  <c:v>39600</c:v>
                </c:pt>
                <c:pt idx="6">
                  <c:v>39630</c:v>
                </c:pt>
                <c:pt idx="7">
                  <c:v>39661</c:v>
                </c:pt>
                <c:pt idx="8">
                  <c:v>39692</c:v>
                </c:pt>
                <c:pt idx="9">
                  <c:v>39722</c:v>
                </c:pt>
                <c:pt idx="10">
                  <c:v>39753</c:v>
                </c:pt>
                <c:pt idx="11">
                  <c:v>39783</c:v>
                </c:pt>
                <c:pt idx="12">
                  <c:v>39814</c:v>
                </c:pt>
                <c:pt idx="13">
                  <c:v>39845</c:v>
                </c:pt>
                <c:pt idx="14">
                  <c:v>39873</c:v>
                </c:pt>
                <c:pt idx="15">
                  <c:v>39904</c:v>
                </c:pt>
                <c:pt idx="16">
                  <c:v>39934</c:v>
                </c:pt>
                <c:pt idx="17">
                  <c:v>39965</c:v>
                </c:pt>
                <c:pt idx="18">
                  <c:v>39995</c:v>
                </c:pt>
                <c:pt idx="19">
                  <c:v>40026</c:v>
                </c:pt>
                <c:pt idx="20">
                  <c:v>40057</c:v>
                </c:pt>
                <c:pt idx="21">
                  <c:v>40087</c:v>
                </c:pt>
                <c:pt idx="22">
                  <c:v>40118</c:v>
                </c:pt>
                <c:pt idx="23">
                  <c:v>40148</c:v>
                </c:pt>
                <c:pt idx="24">
                  <c:v>40179</c:v>
                </c:pt>
                <c:pt idx="25">
                  <c:v>40210</c:v>
                </c:pt>
                <c:pt idx="26">
                  <c:v>40238</c:v>
                </c:pt>
                <c:pt idx="27">
                  <c:v>40269</c:v>
                </c:pt>
                <c:pt idx="28">
                  <c:v>40299</c:v>
                </c:pt>
                <c:pt idx="29">
                  <c:v>40330</c:v>
                </c:pt>
                <c:pt idx="30">
                  <c:v>40360</c:v>
                </c:pt>
                <c:pt idx="31">
                  <c:v>40391</c:v>
                </c:pt>
                <c:pt idx="32">
                  <c:v>40422</c:v>
                </c:pt>
                <c:pt idx="33">
                  <c:v>40452</c:v>
                </c:pt>
                <c:pt idx="34">
                  <c:v>40483</c:v>
                </c:pt>
                <c:pt idx="35">
                  <c:v>40513</c:v>
                </c:pt>
                <c:pt idx="36">
                  <c:v>40544</c:v>
                </c:pt>
                <c:pt idx="37">
                  <c:v>40575</c:v>
                </c:pt>
                <c:pt idx="38">
                  <c:v>40603</c:v>
                </c:pt>
                <c:pt idx="39">
                  <c:v>40634</c:v>
                </c:pt>
                <c:pt idx="40">
                  <c:v>40664</c:v>
                </c:pt>
                <c:pt idx="41">
                  <c:v>40695</c:v>
                </c:pt>
                <c:pt idx="42">
                  <c:v>40725</c:v>
                </c:pt>
                <c:pt idx="43">
                  <c:v>40756</c:v>
                </c:pt>
                <c:pt idx="44">
                  <c:v>40787</c:v>
                </c:pt>
                <c:pt idx="45">
                  <c:v>40817</c:v>
                </c:pt>
                <c:pt idx="46">
                  <c:v>40848</c:v>
                </c:pt>
                <c:pt idx="47">
                  <c:v>40878</c:v>
                </c:pt>
                <c:pt idx="48">
                  <c:v>40909</c:v>
                </c:pt>
                <c:pt idx="49">
                  <c:v>40940</c:v>
                </c:pt>
                <c:pt idx="50">
                  <c:v>40969</c:v>
                </c:pt>
                <c:pt idx="51">
                  <c:v>41000</c:v>
                </c:pt>
                <c:pt idx="52">
                  <c:v>41030</c:v>
                </c:pt>
                <c:pt idx="53">
                  <c:v>41061</c:v>
                </c:pt>
                <c:pt idx="54">
                  <c:v>41091</c:v>
                </c:pt>
                <c:pt idx="55">
                  <c:v>41122</c:v>
                </c:pt>
                <c:pt idx="56">
                  <c:v>41153</c:v>
                </c:pt>
                <c:pt idx="57">
                  <c:v>41183</c:v>
                </c:pt>
                <c:pt idx="58">
                  <c:v>41214</c:v>
                </c:pt>
                <c:pt idx="59">
                  <c:v>41244</c:v>
                </c:pt>
                <c:pt idx="60">
                  <c:v>41275</c:v>
                </c:pt>
                <c:pt idx="61">
                  <c:v>41306</c:v>
                </c:pt>
                <c:pt idx="62">
                  <c:v>41334</c:v>
                </c:pt>
                <c:pt idx="63">
                  <c:v>41365</c:v>
                </c:pt>
                <c:pt idx="64">
                  <c:v>41395</c:v>
                </c:pt>
                <c:pt idx="65">
                  <c:v>41426</c:v>
                </c:pt>
                <c:pt idx="66">
                  <c:v>41456</c:v>
                </c:pt>
                <c:pt idx="67">
                  <c:v>41487</c:v>
                </c:pt>
                <c:pt idx="68">
                  <c:v>41518</c:v>
                </c:pt>
                <c:pt idx="69">
                  <c:v>41548</c:v>
                </c:pt>
                <c:pt idx="70">
                  <c:v>41579</c:v>
                </c:pt>
                <c:pt idx="71">
                  <c:v>41609</c:v>
                </c:pt>
                <c:pt idx="72">
                  <c:v>41640</c:v>
                </c:pt>
                <c:pt idx="73">
                  <c:v>41671</c:v>
                </c:pt>
                <c:pt idx="74">
                  <c:v>41699</c:v>
                </c:pt>
                <c:pt idx="75">
                  <c:v>41730</c:v>
                </c:pt>
                <c:pt idx="76">
                  <c:v>41760</c:v>
                </c:pt>
                <c:pt idx="77">
                  <c:v>41791</c:v>
                </c:pt>
                <c:pt idx="78">
                  <c:v>41821</c:v>
                </c:pt>
                <c:pt idx="79">
                  <c:v>41852</c:v>
                </c:pt>
                <c:pt idx="80">
                  <c:v>41883</c:v>
                </c:pt>
                <c:pt idx="81">
                  <c:v>41913</c:v>
                </c:pt>
                <c:pt idx="82">
                  <c:v>41944</c:v>
                </c:pt>
                <c:pt idx="83">
                  <c:v>41974</c:v>
                </c:pt>
                <c:pt idx="84">
                  <c:v>42005</c:v>
                </c:pt>
                <c:pt idx="85">
                  <c:v>42036</c:v>
                </c:pt>
                <c:pt idx="86">
                  <c:v>42064</c:v>
                </c:pt>
                <c:pt idx="87">
                  <c:v>42095</c:v>
                </c:pt>
                <c:pt idx="88">
                  <c:v>42125</c:v>
                </c:pt>
                <c:pt idx="89">
                  <c:v>42156</c:v>
                </c:pt>
                <c:pt idx="90">
                  <c:v>42186</c:v>
                </c:pt>
                <c:pt idx="91">
                  <c:v>42217</c:v>
                </c:pt>
                <c:pt idx="92">
                  <c:v>42248</c:v>
                </c:pt>
                <c:pt idx="93">
                  <c:v>42278</c:v>
                </c:pt>
                <c:pt idx="94">
                  <c:v>42309</c:v>
                </c:pt>
                <c:pt idx="95">
                  <c:v>42339</c:v>
                </c:pt>
                <c:pt idx="96">
                  <c:v>42370</c:v>
                </c:pt>
                <c:pt idx="97">
                  <c:v>42401</c:v>
                </c:pt>
                <c:pt idx="98">
                  <c:v>42430</c:v>
                </c:pt>
                <c:pt idx="99">
                  <c:v>42461</c:v>
                </c:pt>
                <c:pt idx="100">
                  <c:v>42491</c:v>
                </c:pt>
                <c:pt idx="101">
                  <c:v>42522</c:v>
                </c:pt>
                <c:pt idx="102">
                  <c:v>42552</c:v>
                </c:pt>
                <c:pt idx="103">
                  <c:v>42583</c:v>
                </c:pt>
                <c:pt idx="104">
                  <c:v>42614</c:v>
                </c:pt>
                <c:pt idx="105">
                  <c:v>42644</c:v>
                </c:pt>
                <c:pt idx="106">
                  <c:v>42675</c:v>
                </c:pt>
                <c:pt idx="107">
                  <c:v>42705</c:v>
                </c:pt>
                <c:pt idx="108">
                  <c:v>42736</c:v>
                </c:pt>
                <c:pt idx="109">
                  <c:v>42767</c:v>
                </c:pt>
                <c:pt idx="110">
                  <c:v>42795</c:v>
                </c:pt>
                <c:pt idx="111">
                  <c:v>42826</c:v>
                </c:pt>
                <c:pt idx="112">
                  <c:v>42856</c:v>
                </c:pt>
                <c:pt idx="113">
                  <c:v>42887</c:v>
                </c:pt>
                <c:pt idx="114">
                  <c:v>42917</c:v>
                </c:pt>
                <c:pt idx="115">
                  <c:v>42948</c:v>
                </c:pt>
                <c:pt idx="116">
                  <c:v>42979</c:v>
                </c:pt>
                <c:pt idx="117">
                  <c:v>43009</c:v>
                </c:pt>
                <c:pt idx="118">
                  <c:v>43040</c:v>
                </c:pt>
                <c:pt idx="119">
                  <c:v>43070</c:v>
                </c:pt>
                <c:pt idx="120">
                  <c:v>43101</c:v>
                </c:pt>
                <c:pt idx="121">
                  <c:v>43132</c:v>
                </c:pt>
                <c:pt idx="122">
                  <c:v>43160</c:v>
                </c:pt>
                <c:pt idx="123">
                  <c:v>43191</c:v>
                </c:pt>
                <c:pt idx="124">
                  <c:v>43221</c:v>
                </c:pt>
                <c:pt idx="125">
                  <c:v>43252</c:v>
                </c:pt>
                <c:pt idx="126">
                  <c:v>43282</c:v>
                </c:pt>
                <c:pt idx="127">
                  <c:v>43313</c:v>
                </c:pt>
                <c:pt idx="128">
                  <c:v>43344</c:v>
                </c:pt>
                <c:pt idx="129">
                  <c:v>43374</c:v>
                </c:pt>
                <c:pt idx="130">
                  <c:v>43405</c:v>
                </c:pt>
                <c:pt idx="131">
                  <c:v>43435</c:v>
                </c:pt>
                <c:pt idx="132">
                  <c:v>43466</c:v>
                </c:pt>
                <c:pt idx="133">
                  <c:v>43497</c:v>
                </c:pt>
                <c:pt idx="134">
                  <c:v>43525</c:v>
                </c:pt>
                <c:pt idx="135">
                  <c:v>43556</c:v>
                </c:pt>
                <c:pt idx="136">
                  <c:v>43586</c:v>
                </c:pt>
                <c:pt idx="137">
                  <c:v>43617</c:v>
                </c:pt>
                <c:pt idx="138">
                  <c:v>43647</c:v>
                </c:pt>
                <c:pt idx="139">
                  <c:v>43678</c:v>
                </c:pt>
                <c:pt idx="140">
                  <c:v>43709</c:v>
                </c:pt>
                <c:pt idx="141">
                  <c:v>43739</c:v>
                </c:pt>
                <c:pt idx="142">
                  <c:v>43770</c:v>
                </c:pt>
                <c:pt idx="143">
                  <c:v>43800</c:v>
                </c:pt>
                <c:pt idx="144">
                  <c:v>43831</c:v>
                </c:pt>
                <c:pt idx="145">
                  <c:v>43862</c:v>
                </c:pt>
                <c:pt idx="146">
                  <c:v>43891</c:v>
                </c:pt>
                <c:pt idx="147">
                  <c:v>43922</c:v>
                </c:pt>
                <c:pt idx="148">
                  <c:v>43952</c:v>
                </c:pt>
                <c:pt idx="149">
                  <c:v>43983</c:v>
                </c:pt>
                <c:pt idx="150">
                  <c:v>44013</c:v>
                </c:pt>
                <c:pt idx="151">
                  <c:v>44044</c:v>
                </c:pt>
                <c:pt idx="152">
                  <c:v>44075</c:v>
                </c:pt>
                <c:pt idx="153">
                  <c:v>44105</c:v>
                </c:pt>
                <c:pt idx="154">
                  <c:v>44136</c:v>
                </c:pt>
                <c:pt idx="155">
                  <c:v>44166</c:v>
                </c:pt>
                <c:pt idx="156">
                  <c:v>44197</c:v>
                </c:pt>
                <c:pt idx="157">
                  <c:v>44228</c:v>
                </c:pt>
                <c:pt idx="158">
                  <c:v>44256</c:v>
                </c:pt>
                <c:pt idx="159">
                  <c:v>44287</c:v>
                </c:pt>
              </c:numCache>
            </c:numRef>
          </c:cat>
          <c:val>
            <c:numRef>
              <c:f>REMITTANCES!$L$15:$L$174</c:f>
              <c:numCache>
                <c:formatCode>#,##0.0</c:formatCode>
                <c:ptCount val="160"/>
                <c:pt idx="0">
                  <c:v>143.88487364833333</c:v>
                </c:pt>
                <c:pt idx="1">
                  <c:v>157.53429226083341</c:v>
                </c:pt>
                <c:pt idx="2">
                  <c:v>169.2</c:v>
                </c:pt>
                <c:pt idx="3">
                  <c:v>173.19519088583331</c:v>
                </c:pt>
                <c:pt idx="4">
                  <c:v>176.4</c:v>
                </c:pt>
                <c:pt idx="5">
                  <c:v>166.7381647033333</c:v>
                </c:pt>
                <c:pt idx="6">
                  <c:v>170.9591966108334</c:v>
                </c:pt>
                <c:pt idx="7">
                  <c:v>157.7747012508334</c:v>
                </c:pt>
                <c:pt idx="8">
                  <c:v>181.26672304083328</c:v>
                </c:pt>
                <c:pt idx="9">
                  <c:v>163.73478284183332</c:v>
                </c:pt>
                <c:pt idx="10">
                  <c:v>134.95122688083339</c:v>
                </c:pt>
                <c:pt idx="11">
                  <c:v>172.95626743083332</c:v>
                </c:pt>
                <c:pt idx="12">
                  <c:v>142.05669835</c:v>
                </c:pt>
                <c:pt idx="13">
                  <c:v>145.2878177083</c:v>
                </c:pt>
                <c:pt idx="14">
                  <c:v>154.62973991249999</c:v>
                </c:pt>
                <c:pt idx="15">
                  <c:v>155.1</c:v>
                </c:pt>
                <c:pt idx="16">
                  <c:v>158.29999999999998</c:v>
                </c:pt>
                <c:pt idx="17">
                  <c:v>162</c:v>
                </c:pt>
                <c:pt idx="18">
                  <c:v>153.9</c:v>
                </c:pt>
                <c:pt idx="19">
                  <c:v>150.6</c:v>
                </c:pt>
                <c:pt idx="20">
                  <c:v>161.4</c:v>
                </c:pt>
                <c:pt idx="21">
                  <c:v>164.7</c:v>
                </c:pt>
                <c:pt idx="22">
                  <c:v>150.19999999999999</c:v>
                </c:pt>
                <c:pt idx="23">
                  <c:v>184.8</c:v>
                </c:pt>
                <c:pt idx="24">
                  <c:v>134.49999999999997</c:v>
                </c:pt>
                <c:pt idx="25">
                  <c:v>140.69999999999999</c:v>
                </c:pt>
                <c:pt idx="26">
                  <c:v>166.49999999999997</c:v>
                </c:pt>
                <c:pt idx="27">
                  <c:v>154.60000000000002</c:v>
                </c:pt>
                <c:pt idx="28">
                  <c:v>147.49999999999997</c:v>
                </c:pt>
                <c:pt idx="29">
                  <c:v>149.5</c:v>
                </c:pt>
                <c:pt idx="30">
                  <c:v>148.1</c:v>
                </c:pt>
                <c:pt idx="31">
                  <c:v>147.29999999999998</c:v>
                </c:pt>
                <c:pt idx="32">
                  <c:v>152.79999999999998</c:v>
                </c:pt>
                <c:pt idx="33">
                  <c:v>148.59999999999997</c:v>
                </c:pt>
                <c:pt idx="34">
                  <c:v>142.72402454299998</c:v>
                </c:pt>
                <c:pt idx="35">
                  <c:v>188.20455001170788</c:v>
                </c:pt>
                <c:pt idx="36">
                  <c:v>138.25955571796237</c:v>
                </c:pt>
                <c:pt idx="37">
                  <c:v>152.26714795699999</c:v>
                </c:pt>
                <c:pt idx="38">
                  <c:v>171.28169625203415</c:v>
                </c:pt>
                <c:pt idx="39">
                  <c:v>165.77287563099998</c:v>
                </c:pt>
                <c:pt idx="40">
                  <c:v>155.80669538721435</c:v>
                </c:pt>
                <c:pt idx="41">
                  <c:v>158.55032348544998</c:v>
                </c:pt>
                <c:pt idx="42">
                  <c:v>163.22870487849997</c:v>
                </c:pt>
                <c:pt idx="43">
                  <c:v>162.27432555668469</c:v>
                </c:pt>
                <c:pt idx="44">
                  <c:v>162.96201855899997</c:v>
                </c:pt>
                <c:pt idx="45">
                  <c:v>157.5672825215</c:v>
                </c:pt>
                <c:pt idx="46">
                  <c:v>144.85323538949999</c:v>
                </c:pt>
                <c:pt idx="47">
                  <c:v>192.42820003939997</c:v>
                </c:pt>
                <c:pt idx="48">
                  <c:v>139.75509354387319</c:v>
                </c:pt>
                <c:pt idx="49">
                  <c:v>158.4</c:v>
                </c:pt>
                <c:pt idx="50">
                  <c:v>179</c:v>
                </c:pt>
                <c:pt idx="51">
                  <c:v>172.29999999999998</c:v>
                </c:pt>
                <c:pt idx="52">
                  <c:v>155.83585588550389</c:v>
                </c:pt>
                <c:pt idx="53">
                  <c:v>166.528701848</c:v>
                </c:pt>
                <c:pt idx="54">
                  <c:v>159.87353672926199</c:v>
                </c:pt>
                <c:pt idx="55">
                  <c:v>161.41762821392456</c:v>
                </c:pt>
                <c:pt idx="56">
                  <c:v>149.1</c:v>
                </c:pt>
                <c:pt idx="57">
                  <c:v>155.39999999999998</c:v>
                </c:pt>
                <c:pt idx="58">
                  <c:v>149.49999999999997</c:v>
                </c:pt>
                <c:pt idx="59">
                  <c:v>186.79999999999998</c:v>
                </c:pt>
                <c:pt idx="60">
                  <c:v>139.56500161822751</c:v>
                </c:pt>
                <c:pt idx="61">
                  <c:v>150.59544325546057</c:v>
                </c:pt>
                <c:pt idx="62">
                  <c:v>170.54109928508882</c:v>
                </c:pt>
                <c:pt idx="63">
                  <c:v>170.40569357665498</c:v>
                </c:pt>
                <c:pt idx="64">
                  <c:v>172.37123219477576</c:v>
                </c:pt>
                <c:pt idx="65">
                  <c:v>156.22520595251231</c:v>
                </c:pt>
                <c:pt idx="66">
                  <c:v>161.45118403708994</c:v>
                </c:pt>
                <c:pt idx="67">
                  <c:v>167.30556538816683</c:v>
                </c:pt>
                <c:pt idx="68">
                  <c:v>156.67276986624609</c:v>
                </c:pt>
                <c:pt idx="69">
                  <c:v>165.77787283868207</c:v>
                </c:pt>
                <c:pt idx="70">
                  <c:v>162.92691413994538</c:v>
                </c:pt>
                <c:pt idx="71">
                  <c:v>187.37644431362651</c:v>
                </c:pt>
                <c:pt idx="72">
                  <c:v>149.94067632925996</c:v>
                </c:pt>
                <c:pt idx="73">
                  <c:v>161.75750543797631</c:v>
                </c:pt>
                <c:pt idx="74">
                  <c:v>180.86242925164234</c:v>
                </c:pt>
                <c:pt idx="75">
                  <c:v>169.84528664284636</c:v>
                </c:pt>
                <c:pt idx="76">
                  <c:v>182.02078237760159</c:v>
                </c:pt>
                <c:pt idx="77">
                  <c:v>163.98104976220608</c:v>
                </c:pt>
                <c:pt idx="78">
                  <c:v>173.67513007132669</c:v>
                </c:pt>
                <c:pt idx="79">
                  <c:v>176.07963615066146</c:v>
                </c:pt>
                <c:pt idx="80">
                  <c:v>174.78143173822193</c:v>
                </c:pt>
                <c:pt idx="81">
                  <c:v>174.10815097908304</c:v>
                </c:pt>
                <c:pt idx="82">
                  <c:v>165.18082517949313</c:v>
                </c:pt>
                <c:pt idx="83">
                  <c:v>197.9761816154606</c:v>
                </c:pt>
                <c:pt idx="84">
                  <c:v>157.51018096673707</c:v>
                </c:pt>
                <c:pt idx="85">
                  <c:v>159.24660227184555</c:v>
                </c:pt>
                <c:pt idx="86">
                  <c:v>184.56738979221507</c:v>
                </c:pt>
                <c:pt idx="87">
                  <c:v>177.18455392015997</c:v>
                </c:pt>
                <c:pt idx="88">
                  <c:v>186.02529433669503</c:v>
                </c:pt>
                <c:pt idx="89">
                  <c:v>184.16717778981504</c:v>
                </c:pt>
                <c:pt idx="90">
                  <c:v>181.34830466313466</c:v>
                </c:pt>
                <c:pt idx="91">
                  <c:v>178.02544227930068</c:v>
                </c:pt>
                <c:pt idx="92">
                  <c:v>177.07503983057745</c:v>
                </c:pt>
                <c:pt idx="93">
                  <c:v>186.02144070886342</c:v>
                </c:pt>
                <c:pt idx="94">
                  <c:v>166.38113225205294</c:v>
                </c:pt>
                <c:pt idx="95">
                  <c:v>203.29699670239114</c:v>
                </c:pt>
                <c:pt idx="96">
                  <c:v>148.15606029033523</c:v>
                </c:pt>
                <c:pt idx="97">
                  <c:v>171.23449871662774</c:v>
                </c:pt>
                <c:pt idx="98">
                  <c:v>187.20419413154036</c:v>
                </c:pt>
                <c:pt idx="99">
                  <c:v>194.43513046865772</c:v>
                </c:pt>
                <c:pt idx="100">
                  <c:v>188.6488857026784</c:v>
                </c:pt>
                <c:pt idx="101">
                  <c:v>185.72124053310026</c:v>
                </c:pt>
                <c:pt idx="102">
                  <c:v>187.41616585963624</c:v>
                </c:pt>
                <c:pt idx="103">
                  <c:v>188.11221930424534</c:v>
                </c:pt>
                <c:pt idx="104">
                  <c:v>188.16060620862362</c:v>
                </c:pt>
                <c:pt idx="105">
                  <c:v>177.75370267227623</c:v>
                </c:pt>
                <c:pt idx="106">
                  <c:v>170.26125001517249</c:v>
                </c:pt>
                <c:pt idx="107">
                  <c:v>216.98290375881504</c:v>
                </c:pt>
                <c:pt idx="108">
                  <c:v>159.42676123250786</c:v>
                </c:pt>
                <c:pt idx="109">
                  <c:v>165.09987318387908</c:v>
                </c:pt>
                <c:pt idx="110">
                  <c:v>194.08922513999076</c:v>
                </c:pt>
                <c:pt idx="111">
                  <c:v>188.82622272648453</c:v>
                </c:pt>
                <c:pt idx="112">
                  <c:v>192.3812387551028</c:v>
                </c:pt>
                <c:pt idx="113">
                  <c:v>185.50018102148223</c:v>
                </c:pt>
                <c:pt idx="114">
                  <c:v>186.63985543100151</c:v>
                </c:pt>
                <c:pt idx="115">
                  <c:v>180.92354389477362</c:v>
                </c:pt>
                <c:pt idx="116">
                  <c:v>190.67984049210341</c:v>
                </c:pt>
                <c:pt idx="117">
                  <c:v>187.69992543781328</c:v>
                </c:pt>
                <c:pt idx="118">
                  <c:v>165.57056957590635</c:v>
                </c:pt>
                <c:pt idx="119">
                  <c:v>204.53053726844928</c:v>
                </c:pt>
                <c:pt idx="120">
                  <c:v>155.00010991906038</c:v>
                </c:pt>
                <c:pt idx="121">
                  <c:v>161.55058914688939</c:v>
                </c:pt>
                <c:pt idx="122">
                  <c:v>206.01747617034735</c:v>
                </c:pt>
                <c:pt idx="123">
                  <c:v>181.01726382339621</c:v>
                </c:pt>
                <c:pt idx="124">
                  <c:v>189.16357500086238</c:v>
                </c:pt>
                <c:pt idx="125">
                  <c:v>192.70950962366584</c:v>
                </c:pt>
                <c:pt idx="126">
                  <c:v>192.21925172002744</c:v>
                </c:pt>
                <c:pt idx="127">
                  <c:v>200.31242493757506</c:v>
                </c:pt>
                <c:pt idx="128">
                  <c:v>178.97026719033184</c:v>
                </c:pt>
                <c:pt idx="129">
                  <c:v>194.70382385680722</c:v>
                </c:pt>
                <c:pt idx="130">
                  <c:v>179.98485710087456</c:v>
                </c:pt>
                <c:pt idx="131">
                  <c:v>213.21845895920899</c:v>
                </c:pt>
                <c:pt idx="132">
                  <c:v>155.77140794471853</c:v>
                </c:pt>
                <c:pt idx="133">
                  <c:v>162.08538428303871</c:v>
                </c:pt>
                <c:pt idx="134">
                  <c:v>206.6330129968747</c:v>
                </c:pt>
                <c:pt idx="135">
                  <c:v>184.21000753790449</c:v>
                </c:pt>
                <c:pt idx="136">
                  <c:v>191.70039870202118</c:v>
                </c:pt>
                <c:pt idx="137">
                  <c:v>182.45169594790968</c:v>
                </c:pt>
                <c:pt idx="138">
                  <c:v>204.45061398649003</c:v>
                </c:pt>
                <c:pt idx="139">
                  <c:v>205.01495778828098</c:v>
                </c:pt>
                <c:pt idx="140">
                  <c:v>186.30383455411445</c:v>
                </c:pt>
                <c:pt idx="141">
                  <c:v>196.07576569661518</c:v>
                </c:pt>
                <c:pt idx="142">
                  <c:v>187.48752112803993</c:v>
                </c:pt>
                <c:pt idx="143">
                  <c:v>214.25860502422253</c:v>
                </c:pt>
                <c:pt idx="144">
                  <c:v>171.64316732653435</c:v>
                </c:pt>
                <c:pt idx="145">
                  <c:v>173.01343531816275</c:v>
                </c:pt>
                <c:pt idx="146">
                  <c:v>189.68985948952127</c:v>
                </c:pt>
                <c:pt idx="147">
                  <c:v>168.84805617635345</c:v>
                </c:pt>
                <c:pt idx="148">
                  <c:v>233.01733609183566</c:v>
                </c:pt>
                <c:pt idx="149">
                  <c:v>267.43454733003261</c:v>
                </c:pt>
                <c:pt idx="150">
                  <c:v>288.10953713788479</c:v>
                </c:pt>
                <c:pt idx="151">
                  <c:v>274.28357754525405</c:v>
                </c:pt>
                <c:pt idx="152">
                  <c:v>255.45672690646575</c:v>
                </c:pt>
                <c:pt idx="153">
                  <c:v>264.00338963449218</c:v>
                </c:pt>
                <c:pt idx="154">
                  <c:v>232.71129154849834</c:v>
                </c:pt>
                <c:pt idx="155">
                  <c:v>294.18365890447745</c:v>
                </c:pt>
                <c:pt idx="156">
                  <c:v>234.54633732457302</c:v>
                </c:pt>
                <c:pt idx="157">
                  <c:v>222.6342845611025</c:v>
                </c:pt>
                <c:pt idx="158">
                  <c:v>315.36302180101114</c:v>
                </c:pt>
                <c:pt idx="159">
                  <c:v>279.79027514377566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99-4120-B7D9-081F125A5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7919439"/>
        <c:axId val="1357975599"/>
      </c:lineChart>
      <c:dateAx>
        <c:axId val="135791943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975599"/>
        <c:crosses val="autoZero"/>
        <c:auto val="1"/>
        <c:lblOffset val="100"/>
        <c:baseTimeUnit val="months"/>
      </c:dateAx>
      <c:valAx>
        <c:axId val="135797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919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1304986094886993E-2"/>
          <c:y val="8.4659349399509934E-2"/>
          <c:w val="0.87372067423653643"/>
          <c:h val="0.77921450727749964"/>
        </c:manualLayout>
      </c:layout>
      <c:barChart>
        <c:barDir val="col"/>
        <c:grouping val="stacked"/>
        <c:varyColors val="0"/>
        <c:ser>
          <c:idx val="1"/>
          <c:order val="0"/>
          <c:tx>
            <c:v>Public debt (right axis)</c:v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numRef>
              <c:f>fiscal!$C$3:$S$3</c:f>
              <c:numCache>
                <c:formatCode>General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fiscal!$C$6:$S$6</c:f>
              <c:numCache>
                <c:formatCode>0.0</c:formatCode>
                <c:ptCount val="17"/>
                <c:pt idx="0">
                  <c:v>118.11458482659046</c:v>
                </c:pt>
                <c:pt idx="1">
                  <c:v>116.24716892840432</c:v>
                </c:pt>
                <c:pt idx="2">
                  <c:v>119.05511643531395</c:v>
                </c:pt>
                <c:pt idx="3">
                  <c:v>116.64570752639054</c:v>
                </c:pt>
                <c:pt idx="4">
                  <c:v>118.3430133824356</c:v>
                </c:pt>
                <c:pt idx="5">
                  <c:v>111.48756913921392</c:v>
                </c:pt>
                <c:pt idx="6">
                  <c:v>113.69488932117244</c:v>
                </c:pt>
                <c:pt idx="7">
                  <c:v>101.22488295179777</c:v>
                </c:pt>
                <c:pt idx="8">
                  <c:v>94.386131849517213</c:v>
                </c:pt>
                <c:pt idx="9">
                  <c:v>94.259651511701321</c:v>
                </c:pt>
                <c:pt idx="10">
                  <c:v>106.13114251431257</c:v>
                </c:pt>
                <c:pt idx="11">
                  <c:v>96.891301297178671</c:v>
                </c:pt>
                <c:pt idx="12">
                  <c:v>85.279493800340106</c:v>
                </c:pt>
                <c:pt idx="13">
                  <c:v>75.650817568219196</c:v>
                </c:pt>
                <c:pt idx="14">
                  <c:v>69.301137429984109</c:v>
                </c:pt>
                <c:pt idx="15">
                  <c:v>64.363460409217339</c:v>
                </c:pt>
                <c:pt idx="16">
                  <c:v>59.980149614730216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ED9-414F-B126-C39AEB5BD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443730944"/>
        <c:axId val="443740928"/>
      </c:barChart>
      <c:lineChart>
        <c:grouping val="standard"/>
        <c:varyColors val="0"/>
        <c:ser>
          <c:idx val="0"/>
          <c:order val="1"/>
          <c:tx>
            <c:v>Primary balance</c:v>
          </c:tx>
          <c:spPr>
            <a:ln w="50800">
              <a:solidFill>
                <a:srgbClr val="FF0000"/>
              </a:solidFill>
            </a:ln>
          </c:spPr>
          <c:marker>
            <c:symbol val="circle"/>
            <c:size val="7"/>
            <c:spPr>
              <a:solidFill>
                <a:srgbClr val="C00000"/>
              </a:solidFill>
              <a:ln>
                <a:solidFill>
                  <a:schemeClr val="bg1">
                    <a:lumMod val="50000"/>
                  </a:schemeClr>
                </a:solidFill>
              </a:ln>
            </c:spPr>
          </c:marker>
          <c:cat>
            <c:numRef>
              <c:f>fiscal!$C$3:$S$3</c:f>
              <c:numCache>
                <c:formatCode>General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fiscal!$C$4:$S$4</c:f>
              <c:numCache>
                <c:formatCode>0.0</c:formatCode>
                <c:ptCount val="17"/>
                <c:pt idx="0">
                  <c:v>4.6563015720906407</c:v>
                </c:pt>
                <c:pt idx="1">
                  <c:v>3.2910511329838257</c:v>
                </c:pt>
                <c:pt idx="2">
                  <c:v>5.4861006516681829</c:v>
                </c:pt>
                <c:pt idx="3">
                  <c:v>7.6355556108220366</c:v>
                </c:pt>
                <c:pt idx="4">
                  <c:v>7.4738310440010505</c:v>
                </c:pt>
                <c:pt idx="5">
                  <c:v>7.1521940775625836</c:v>
                </c:pt>
                <c:pt idx="6">
                  <c:v>7.5998935641278367</c:v>
                </c:pt>
                <c:pt idx="7">
                  <c:v>7.462065761649467</c:v>
                </c:pt>
                <c:pt idx="8">
                  <c:v>7.472891804914374</c:v>
                </c:pt>
                <c:pt idx="9">
                  <c:v>7.1137768559394337</c:v>
                </c:pt>
                <c:pt idx="10">
                  <c:v>3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ED9-414F-B126-C39AEB5BDFD6}"/>
            </c:ext>
          </c:extLst>
        </c:ser>
        <c:ser>
          <c:idx val="3"/>
          <c:order val="2"/>
          <c:tx>
            <c:v>Overall balance</c:v>
          </c:tx>
          <c:spPr>
            <a:ln w="50800">
              <a:solidFill>
                <a:schemeClr val="tx1"/>
              </a:solidFill>
            </a:ln>
          </c:spPr>
          <c:marker>
            <c:symbol val="circle"/>
            <c:size val="7"/>
            <c:spPr>
              <a:solidFill>
                <a:schemeClr val="tx1"/>
              </a:solidFill>
              <a:ln>
                <a:solidFill>
                  <a:schemeClr val="bg1">
                    <a:lumMod val="50000"/>
                  </a:schemeClr>
                </a:solidFill>
              </a:ln>
            </c:spPr>
          </c:marker>
          <c:cat>
            <c:numRef>
              <c:f>fiscal!$C$3:$S$3</c:f>
              <c:numCache>
                <c:formatCode>General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fiscal!$C$5:$S$5</c:f>
              <c:numCache>
                <c:formatCode>0.0</c:formatCode>
                <c:ptCount val="17"/>
                <c:pt idx="0">
                  <c:v>-6.2965932916282261</c:v>
                </c:pt>
                <c:pt idx="1">
                  <c:v>-6.2823568601635449</c:v>
                </c:pt>
                <c:pt idx="2">
                  <c:v>-3.9897967344625975</c:v>
                </c:pt>
                <c:pt idx="3">
                  <c:v>0.18801153654763209</c:v>
                </c:pt>
                <c:pt idx="4">
                  <c:v>-0.49560912523483863</c:v>
                </c:pt>
                <c:pt idx="5">
                  <c:v>-0.16383420775128024</c:v>
                </c:pt>
                <c:pt idx="6">
                  <c:v>-8.5868222886241852E-2</c:v>
                </c:pt>
                <c:pt idx="7">
                  <c:v>0.45895426616468227</c:v>
                </c:pt>
                <c:pt idx="8">
                  <c:v>1.1810962429478775</c:v>
                </c:pt>
                <c:pt idx="9">
                  <c:v>0.91483385619590563</c:v>
                </c:pt>
                <c:pt idx="10">
                  <c:v>-3.9003407239899999</c:v>
                </c:pt>
                <c:pt idx="11">
                  <c:v>0.2</c:v>
                </c:pt>
                <c:pt idx="12">
                  <c:v>0.3</c:v>
                </c:pt>
                <c:pt idx="13">
                  <c:v>1</c:v>
                </c:pt>
                <c:pt idx="14">
                  <c:v>1.4848160622887081</c:v>
                </c:pt>
                <c:pt idx="15">
                  <c:v>1.1180339688792056</c:v>
                </c:pt>
                <c:pt idx="16">
                  <c:v>1.4087884225305383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ED9-414F-B126-C39AEB5BD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3727872"/>
        <c:axId val="443729408"/>
      </c:lineChart>
      <c:catAx>
        <c:axId val="443727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>
            <a:noFill/>
          </a:ln>
        </c:spPr>
        <c:txPr>
          <a:bodyPr rot="-5400000" vert="horz"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443729408"/>
        <c:crosses val="autoZero"/>
        <c:auto val="1"/>
        <c:lblAlgn val="ctr"/>
        <c:lblOffset val="100"/>
        <c:noMultiLvlLbl val="0"/>
      </c:catAx>
      <c:valAx>
        <c:axId val="443729408"/>
        <c:scaling>
          <c:orientation val="minMax"/>
          <c:max val="10"/>
        </c:scaling>
        <c:delete val="0"/>
        <c:axPos val="l"/>
        <c:numFmt formatCode="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800" b="0" i="0" u="none" strike="noStrike" baseline="0">
                <a:solidFill>
                  <a:srgbClr val="000000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443727872"/>
        <c:crosses val="autoZero"/>
        <c:crossBetween val="between"/>
      </c:valAx>
      <c:catAx>
        <c:axId val="443730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43740928"/>
        <c:crosses val="autoZero"/>
        <c:auto val="1"/>
        <c:lblAlgn val="ctr"/>
        <c:lblOffset val="100"/>
        <c:noMultiLvlLbl val="0"/>
      </c:catAx>
      <c:valAx>
        <c:axId val="443740928"/>
        <c:scaling>
          <c:orientation val="minMax"/>
          <c:max val="140"/>
        </c:scaling>
        <c:delete val="0"/>
        <c:axPos val="r"/>
        <c:numFmt formatCode="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800" b="0" i="0" u="none" strike="noStrike" baseline="0">
                <a:solidFill>
                  <a:srgbClr val="000000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443730944"/>
        <c:crosses val="max"/>
        <c:crossBetween val="between"/>
      </c:valAx>
      <c:spPr>
        <a:noFill/>
        <a:ln>
          <a:noFill/>
        </a:ln>
      </c:spPr>
    </c:plotArea>
    <c:legend>
      <c:legendPos val="l"/>
      <c:layout>
        <c:manualLayout>
          <c:xMode val="edge"/>
          <c:yMode val="edge"/>
          <c:x val="0.10281432408667063"/>
          <c:y val="8.402864720753532E-2"/>
          <c:w val="0.77041428337340212"/>
          <c:h val="9.483170714041822E-2"/>
        </c:manualLayout>
      </c:layout>
      <c:overlay val="1"/>
      <c:txPr>
        <a:bodyPr/>
        <a:lstStyle/>
        <a:p>
          <a:pPr>
            <a:defRPr sz="1400" b="0" i="0" u="none" strike="noStrike" baseline="0">
              <a:solidFill>
                <a:srgbClr val="000000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0"/>
    <c:dispBlanksAs val="gap"/>
    <c:showDLblsOverMax val="0"/>
  </c:chart>
  <c:spPr>
    <a:noFill/>
    <a:ln>
      <a:noFill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Segoe UI"/>
          <a:ea typeface="Segoe UI"/>
          <a:cs typeface="Segoe U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/>
              <a:t>BOJ Policy rate </a:t>
            </a:r>
          </a:p>
          <a:p>
            <a:pPr>
              <a:defRPr sz="1200"/>
            </a:pPr>
            <a:r>
              <a:rPr lang="en-US" sz="1200"/>
              <a:t>(in percent)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7540618978518924E-2"/>
          <c:y val="0.17636726546906187"/>
          <c:w val="0.8947655240224881"/>
          <c:h val="0.58393857953384565"/>
        </c:manualLayout>
      </c:layout>
      <c:lineChart>
        <c:grouping val="standard"/>
        <c:varyColors val="0"/>
        <c:ser>
          <c:idx val="0"/>
          <c:order val="0"/>
          <c:tx>
            <c:v>Policy rate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'rate and inflation'!$A$282:$A$348</c:f>
              <c:numCache>
                <c:formatCode>mmm\-yy</c:formatCode>
                <c:ptCount val="67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44334</c:v>
                </c:pt>
                <c:pt idx="65">
                  <c:v>44377</c:v>
                </c:pt>
                <c:pt idx="66">
                  <c:v>44408</c:v>
                </c:pt>
              </c:numCache>
            </c:numRef>
          </c:cat>
          <c:val>
            <c:numRef>
              <c:f>'rate and inflation'!$B$282:$B$348</c:f>
              <c:numCache>
                <c:formatCode>0.00</c:formatCode>
                <c:ptCount val="67"/>
                <c:pt idx="0">
                  <c:v>5.25</c:v>
                </c:pt>
                <c:pt idx="1">
                  <c:v>5.25</c:v>
                </c:pt>
                <c:pt idx="2">
                  <c:v>5.25</c:v>
                </c:pt>
                <c:pt idx="3">
                  <c:v>5.25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4.75</c:v>
                </c:pt>
                <c:pt idx="16">
                  <c:v>4.75</c:v>
                </c:pt>
                <c:pt idx="17">
                  <c:v>4.75</c:v>
                </c:pt>
                <c:pt idx="18">
                  <c:v>3.75</c:v>
                </c:pt>
                <c:pt idx="19">
                  <c:v>3.5</c:v>
                </c:pt>
                <c:pt idx="20">
                  <c:v>3.5</c:v>
                </c:pt>
                <c:pt idx="21">
                  <c:v>3.5</c:v>
                </c:pt>
                <c:pt idx="22">
                  <c:v>3.25</c:v>
                </c:pt>
                <c:pt idx="23">
                  <c:v>3.25</c:v>
                </c:pt>
                <c:pt idx="24">
                  <c:v>3</c:v>
                </c:pt>
                <c:pt idx="25">
                  <c:v>2.75</c:v>
                </c:pt>
                <c:pt idx="26">
                  <c:v>2.75</c:v>
                </c:pt>
                <c:pt idx="27">
                  <c:v>2.75</c:v>
                </c:pt>
                <c:pt idx="28">
                  <c:v>2.5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1.75</c:v>
                </c:pt>
                <c:pt idx="36">
                  <c:v>1.75</c:v>
                </c:pt>
                <c:pt idx="37">
                  <c:v>1.5</c:v>
                </c:pt>
                <c:pt idx="38">
                  <c:v>1.25</c:v>
                </c:pt>
                <c:pt idx="39">
                  <c:v>1.25</c:v>
                </c:pt>
                <c:pt idx="40">
                  <c:v>0.75</c:v>
                </c:pt>
                <c:pt idx="41">
                  <c:v>0.75</c:v>
                </c:pt>
                <c:pt idx="42">
                  <c:v>0.75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F6-434B-811F-F517FDAEC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9242671"/>
        <c:axId val="1579243087"/>
      </c:lineChart>
      <c:dateAx>
        <c:axId val="1579242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9243087"/>
        <c:crosses val="autoZero"/>
        <c:auto val="1"/>
        <c:lblOffset val="100"/>
        <c:baseTimeUnit val="months"/>
      </c:dateAx>
      <c:valAx>
        <c:axId val="1579243087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9242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/>
              <a:t>CPI inflation versus</a:t>
            </a:r>
            <a:r>
              <a:rPr lang="en-US" sz="1200" baseline="0"/>
              <a:t> BOJ target band</a:t>
            </a:r>
            <a:r>
              <a:rPr lang="en-US" sz="1200"/>
              <a:t>(y-o-y)</a:t>
            </a:r>
          </a:p>
          <a:p>
            <a:pPr>
              <a:defRPr sz="1200"/>
            </a:pPr>
            <a:r>
              <a:rPr lang="en-US" sz="1200"/>
              <a:t>(in percent)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7540618978518924E-2"/>
          <c:y val="0.17636726546906187"/>
          <c:w val="0.8947655240224881"/>
          <c:h val="0.58393857953384565"/>
        </c:manualLayout>
      </c:layout>
      <c:lineChart>
        <c:grouping val="standard"/>
        <c:varyColors val="0"/>
        <c:ser>
          <c:idx val="1"/>
          <c:order val="0"/>
          <c:tx>
            <c:v>CPI inflation</c:v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'rate and inflation'!$A$282:$A$348</c:f>
              <c:numCache>
                <c:formatCode>mmm\-yy</c:formatCode>
                <c:ptCount val="67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44334</c:v>
                </c:pt>
                <c:pt idx="65">
                  <c:v>44377</c:v>
                </c:pt>
                <c:pt idx="66">
                  <c:v>44408</c:v>
                </c:pt>
              </c:numCache>
            </c:numRef>
          </c:cat>
          <c:val>
            <c:numRef>
              <c:f>'rate and inflation'!$F$282:$F$348</c:f>
              <c:numCache>
                <c:formatCode>0.00</c:formatCode>
                <c:ptCount val="67"/>
                <c:pt idx="0">
                  <c:v>3.7208373232556369</c:v>
                </c:pt>
                <c:pt idx="1">
                  <c:v>3.6428842161035107</c:v>
                </c:pt>
                <c:pt idx="2">
                  <c:v>2.9625372416349336</c:v>
                </c:pt>
                <c:pt idx="3">
                  <c:v>2.4109731503091751</c:v>
                </c:pt>
                <c:pt idx="4">
                  <c:v>2.1304053270027907</c:v>
                </c:pt>
                <c:pt idx="5">
                  <c:v>2.5129687074820737</c:v>
                </c:pt>
                <c:pt idx="6">
                  <c:v>2.1418298728056868</c:v>
                </c:pt>
                <c:pt idx="7">
                  <c:v>1.7717807059609356</c:v>
                </c:pt>
                <c:pt idx="8">
                  <c:v>1.8554830833031275</c:v>
                </c:pt>
                <c:pt idx="9">
                  <c:v>1.7832340964834401</c:v>
                </c:pt>
                <c:pt idx="10">
                  <c:v>1.6563105725399652</c:v>
                </c:pt>
                <c:pt idx="11">
                  <c:v>1.7247639252902189</c:v>
                </c:pt>
                <c:pt idx="12">
                  <c:v>2.5901150107034709</c:v>
                </c:pt>
                <c:pt idx="13">
                  <c:v>3.5559560355965942</c:v>
                </c:pt>
                <c:pt idx="14">
                  <c:v>4.0876135813711301</c:v>
                </c:pt>
                <c:pt idx="15">
                  <c:v>4.7754470406489844</c:v>
                </c:pt>
                <c:pt idx="16">
                  <c:v>4.6349917188422012</c:v>
                </c:pt>
                <c:pt idx="17">
                  <c:v>4.4384901123631408</c:v>
                </c:pt>
                <c:pt idx="18">
                  <c:v>4.5469021734871831</c:v>
                </c:pt>
                <c:pt idx="19">
                  <c:v>4.4194401140201762</c:v>
                </c:pt>
                <c:pt idx="20">
                  <c:v>4.5843582560641352</c:v>
                </c:pt>
                <c:pt idx="21">
                  <c:v>4.6975790304748131</c:v>
                </c:pt>
                <c:pt idx="22">
                  <c:v>4.9257172770858659</c:v>
                </c:pt>
                <c:pt idx="23">
                  <c:v>5.2351336939905195</c:v>
                </c:pt>
                <c:pt idx="24">
                  <c:v>4.7702440535978923</c:v>
                </c:pt>
                <c:pt idx="25">
                  <c:v>4.4259207968075884</c:v>
                </c:pt>
                <c:pt idx="26">
                  <c:v>3.9365041088844919</c:v>
                </c:pt>
                <c:pt idx="27">
                  <c:v>3.2142024971165313</c:v>
                </c:pt>
                <c:pt idx="28">
                  <c:v>3.0741742765018074</c:v>
                </c:pt>
                <c:pt idx="29">
                  <c:v>2.816991967594177</c:v>
                </c:pt>
                <c:pt idx="30">
                  <c:v>3.2121548080595232</c:v>
                </c:pt>
                <c:pt idx="31">
                  <c:v>3.8735112621256036</c:v>
                </c:pt>
                <c:pt idx="32">
                  <c:v>4.3294261705280235</c:v>
                </c:pt>
                <c:pt idx="33">
                  <c:v>4.7150153769332235</c:v>
                </c:pt>
                <c:pt idx="34">
                  <c:v>4.0996311689699922</c:v>
                </c:pt>
                <c:pt idx="35">
                  <c:v>2.4397063385212618</c:v>
                </c:pt>
                <c:pt idx="36">
                  <c:v>2.2511304871801485</c:v>
                </c:pt>
                <c:pt idx="37">
                  <c:v>2.4383173625066377</c:v>
                </c:pt>
                <c:pt idx="38">
                  <c:v>3.3911813103635069</c:v>
                </c:pt>
                <c:pt idx="39">
                  <c:v>3.9431219215646536</c:v>
                </c:pt>
                <c:pt idx="40">
                  <c:v>4.769990550343195</c:v>
                </c:pt>
                <c:pt idx="41">
                  <c:v>4.1904279742617518</c:v>
                </c:pt>
                <c:pt idx="42">
                  <c:v>4.2752065716518075</c:v>
                </c:pt>
                <c:pt idx="43">
                  <c:v>4.0928379495750704</c:v>
                </c:pt>
                <c:pt idx="44">
                  <c:v>3.3878190184126566</c:v>
                </c:pt>
                <c:pt idx="45">
                  <c:v>3.2670830640312118</c:v>
                </c:pt>
                <c:pt idx="46">
                  <c:v>4.6419203066572692</c:v>
                </c:pt>
                <c:pt idx="47">
                  <c:v>6.2188564718601356</c:v>
                </c:pt>
                <c:pt idx="48">
                  <c:v>5.2443394624691422</c:v>
                </c:pt>
                <c:pt idx="49">
                  <c:v>5.9613190469567172</c:v>
                </c:pt>
                <c:pt idx="50">
                  <c:v>4.8066875203913355</c:v>
                </c:pt>
                <c:pt idx="51">
                  <c:v>5.4835684974430876</c:v>
                </c:pt>
                <c:pt idx="52">
                  <c:v>4.7410708803103887</c:v>
                </c:pt>
                <c:pt idx="53">
                  <c:v>6.3104731094523601</c:v>
                </c:pt>
                <c:pt idx="54">
                  <c:v>5.7039096757925307</c:v>
                </c:pt>
                <c:pt idx="55">
                  <c:v>5.1280379602381458</c:v>
                </c:pt>
                <c:pt idx="56">
                  <c:v>4.8833772526086534</c:v>
                </c:pt>
                <c:pt idx="57">
                  <c:v>5.041650730834732</c:v>
                </c:pt>
                <c:pt idx="58">
                  <c:v>4.3291234698862695</c:v>
                </c:pt>
                <c:pt idx="59">
                  <c:v>5.1912782412596243</c:v>
                </c:pt>
                <c:pt idx="60">
                  <c:v>4.6808066044220311</c:v>
                </c:pt>
                <c:pt idx="61">
                  <c:v>3.8071059180686717</c:v>
                </c:pt>
                <c:pt idx="62">
                  <c:v>5.1751590732589392</c:v>
                </c:pt>
                <c:pt idx="63">
                  <c:v>3.8489931285532908</c:v>
                </c:pt>
                <c:pt idx="64">
                  <c:v>5.0306752852049819</c:v>
                </c:pt>
                <c:pt idx="65">
                  <c:v>4.3354757521376648</c:v>
                </c:pt>
                <c:pt idx="66">
                  <c:v>5.3456332134085898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B0-49EF-AA74-B40CBAB6A37A}"/>
            </c:ext>
          </c:extLst>
        </c:ser>
        <c:ser>
          <c:idx val="2"/>
          <c:order val="1"/>
          <c:tx>
            <c:v>BOJ upper bound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'rate and inflation'!$A$282:$A$348</c:f>
              <c:numCache>
                <c:formatCode>mmm\-yy</c:formatCode>
                <c:ptCount val="67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44334</c:v>
                </c:pt>
                <c:pt idx="65">
                  <c:v>44377</c:v>
                </c:pt>
                <c:pt idx="66">
                  <c:v>44408</c:v>
                </c:pt>
              </c:numCache>
            </c:numRef>
          </c:cat>
          <c:val>
            <c:numRef>
              <c:f>'rate and inflation'!$G$282:$G$348</c:f>
              <c:numCache>
                <c:formatCode>General</c:formatCode>
                <c:ptCount val="67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B0-49EF-AA74-B40CBAB6A37A}"/>
            </c:ext>
          </c:extLst>
        </c:ser>
        <c:ser>
          <c:idx val="3"/>
          <c:order val="2"/>
          <c:tx>
            <c:v>BOJ lower bound</c:v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'rate and inflation'!$A$282:$A$348</c:f>
              <c:numCache>
                <c:formatCode>mmm\-yy</c:formatCode>
                <c:ptCount val="67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44334</c:v>
                </c:pt>
                <c:pt idx="65">
                  <c:v>44377</c:v>
                </c:pt>
                <c:pt idx="66">
                  <c:v>44408</c:v>
                </c:pt>
              </c:numCache>
            </c:numRef>
          </c:cat>
          <c:val>
            <c:numRef>
              <c:f>'rate and inflation'!$H$282:$H$348</c:f>
              <c:numCache>
                <c:formatCode>General</c:formatCode>
                <c:ptCount val="67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6</c:v>
                </c:pt>
                <c:pt idx="59">
                  <c:v>6</c:v>
                </c:pt>
                <c:pt idx="60">
                  <c:v>6</c:v>
                </c:pt>
                <c:pt idx="61">
                  <c:v>6</c:v>
                </c:pt>
                <c:pt idx="62">
                  <c:v>6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6B0-49EF-AA74-B40CBAB6A3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9242671"/>
        <c:axId val="1579243087"/>
      </c:lineChart>
      <c:dateAx>
        <c:axId val="1579242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9243087"/>
        <c:crosses val="autoZero"/>
        <c:auto val="1"/>
        <c:lblOffset val="100"/>
        <c:baseTimeUnit val="months"/>
      </c:dateAx>
      <c:valAx>
        <c:axId val="1579243087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9242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Jamaica: BOJ Policy rates, deposit and Lending rates</a:t>
            </a:r>
          </a:p>
          <a:p>
            <a:pPr>
              <a:defRPr/>
            </a:pPr>
            <a:r>
              <a:rPr lang="en-US"/>
              <a:t>(in percent)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886482939632542E-2"/>
          <c:y val="0.13296069732856428"/>
          <c:w val="0.87122462817147861"/>
          <c:h val="0.70855166980531914"/>
        </c:manualLayout>
      </c:layout>
      <c:lineChart>
        <c:grouping val="standard"/>
        <c:varyColors val="0"/>
        <c:ser>
          <c:idx val="0"/>
          <c:order val="0"/>
          <c:tx>
            <c:v>Policy rates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'rate and inflation'!$A$272:$A$347</c:f>
              <c:numCache>
                <c:formatCode>mmm\-yy</c:formatCode>
                <c:ptCount val="76"/>
                <c:pt idx="0">
                  <c:v>42064</c:v>
                </c:pt>
                <c:pt idx="1">
                  <c:v>42095</c:v>
                </c:pt>
                <c:pt idx="2">
                  <c:v>42125</c:v>
                </c:pt>
                <c:pt idx="3">
                  <c:v>42156</c:v>
                </c:pt>
                <c:pt idx="4">
                  <c:v>42186</c:v>
                </c:pt>
                <c:pt idx="5">
                  <c:v>42217</c:v>
                </c:pt>
                <c:pt idx="6">
                  <c:v>42248</c:v>
                </c:pt>
                <c:pt idx="7">
                  <c:v>42278</c:v>
                </c:pt>
                <c:pt idx="8">
                  <c:v>42309</c:v>
                </c:pt>
                <c:pt idx="9">
                  <c:v>42339</c:v>
                </c:pt>
                <c:pt idx="10">
                  <c:v>42370</c:v>
                </c:pt>
                <c:pt idx="11">
                  <c:v>42401</c:v>
                </c:pt>
                <c:pt idx="12">
                  <c:v>42430</c:v>
                </c:pt>
                <c:pt idx="13">
                  <c:v>42461</c:v>
                </c:pt>
                <c:pt idx="14">
                  <c:v>42491</c:v>
                </c:pt>
                <c:pt idx="15">
                  <c:v>42522</c:v>
                </c:pt>
                <c:pt idx="16">
                  <c:v>42552</c:v>
                </c:pt>
                <c:pt idx="17">
                  <c:v>42583</c:v>
                </c:pt>
                <c:pt idx="18">
                  <c:v>42614</c:v>
                </c:pt>
                <c:pt idx="19">
                  <c:v>42644</c:v>
                </c:pt>
                <c:pt idx="20">
                  <c:v>42675</c:v>
                </c:pt>
                <c:pt idx="21">
                  <c:v>42705</c:v>
                </c:pt>
                <c:pt idx="22">
                  <c:v>42736</c:v>
                </c:pt>
                <c:pt idx="23">
                  <c:v>42767</c:v>
                </c:pt>
                <c:pt idx="24">
                  <c:v>42795</c:v>
                </c:pt>
                <c:pt idx="25">
                  <c:v>42826</c:v>
                </c:pt>
                <c:pt idx="26">
                  <c:v>42856</c:v>
                </c:pt>
                <c:pt idx="27">
                  <c:v>42887</c:v>
                </c:pt>
                <c:pt idx="28">
                  <c:v>42917</c:v>
                </c:pt>
                <c:pt idx="29">
                  <c:v>42948</c:v>
                </c:pt>
                <c:pt idx="30">
                  <c:v>42979</c:v>
                </c:pt>
                <c:pt idx="31">
                  <c:v>43009</c:v>
                </c:pt>
                <c:pt idx="32">
                  <c:v>43040</c:v>
                </c:pt>
                <c:pt idx="33">
                  <c:v>43070</c:v>
                </c:pt>
                <c:pt idx="34">
                  <c:v>43101</c:v>
                </c:pt>
                <c:pt idx="35">
                  <c:v>43132</c:v>
                </c:pt>
                <c:pt idx="36">
                  <c:v>43160</c:v>
                </c:pt>
                <c:pt idx="37">
                  <c:v>43191</c:v>
                </c:pt>
                <c:pt idx="38">
                  <c:v>43221</c:v>
                </c:pt>
                <c:pt idx="39">
                  <c:v>43252</c:v>
                </c:pt>
                <c:pt idx="40">
                  <c:v>43282</c:v>
                </c:pt>
                <c:pt idx="41">
                  <c:v>43313</c:v>
                </c:pt>
                <c:pt idx="42">
                  <c:v>43344</c:v>
                </c:pt>
                <c:pt idx="43">
                  <c:v>43374</c:v>
                </c:pt>
                <c:pt idx="44">
                  <c:v>43405</c:v>
                </c:pt>
                <c:pt idx="45">
                  <c:v>43435</c:v>
                </c:pt>
                <c:pt idx="46">
                  <c:v>43466</c:v>
                </c:pt>
                <c:pt idx="47">
                  <c:v>43497</c:v>
                </c:pt>
                <c:pt idx="48">
                  <c:v>43525</c:v>
                </c:pt>
                <c:pt idx="49">
                  <c:v>43556</c:v>
                </c:pt>
                <c:pt idx="50">
                  <c:v>43586</c:v>
                </c:pt>
                <c:pt idx="51">
                  <c:v>43617</c:v>
                </c:pt>
                <c:pt idx="52">
                  <c:v>43647</c:v>
                </c:pt>
                <c:pt idx="53">
                  <c:v>43678</c:v>
                </c:pt>
                <c:pt idx="54">
                  <c:v>43709</c:v>
                </c:pt>
                <c:pt idx="55">
                  <c:v>43739</c:v>
                </c:pt>
                <c:pt idx="56">
                  <c:v>43770</c:v>
                </c:pt>
                <c:pt idx="57">
                  <c:v>43800</c:v>
                </c:pt>
                <c:pt idx="58">
                  <c:v>43831</c:v>
                </c:pt>
                <c:pt idx="59">
                  <c:v>43862</c:v>
                </c:pt>
                <c:pt idx="60">
                  <c:v>43891</c:v>
                </c:pt>
                <c:pt idx="61">
                  <c:v>43922</c:v>
                </c:pt>
                <c:pt idx="62">
                  <c:v>43952</c:v>
                </c:pt>
                <c:pt idx="63">
                  <c:v>43983</c:v>
                </c:pt>
                <c:pt idx="64">
                  <c:v>44013</c:v>
                </c:pt>
                <c:pt idx="65">
                  <c:v>44044</c:v>
                </c:pt>
                <c:pt idx="66">
                  <c:v>44075</c:v>
                </c:pt>
                <c:pt idx="67">
                  <c:v>44105</c:v>
                </c:pt>
                <c:pt idx="68">
                  <c:v>44136</c:v>
                </c:pt>
                <c:pt idx="69">
                  <c:v>44166</c:v>
                </c:pt>
                <c:pt idx="70">
                  <c:v>44197</c:v>
                </c:pt>
                <c:pt idx="71">
                  <c:v>44228</c:v>
                </c:pt>
                <c:pt idx="72">
                  <c:v>44256</c:v>
                </c:pt>
                <c:pt idx="73">
                  <c:v>44287</c:v>
                </c:pt>
                <c:pt idx="74">
                  <c:v>44334</c:v>
                </c:pt>
                <c:pt idx="75">
                  <c:v>44377</c:v>
                </c:pt>
              </c:numCache>
            </c:numRef>
          </c:cat>
          <c:val>
            <c:numRef>
              <c:f>'rate and inflation'!$B$272:$B$347</c:f>
              <c:numCache>
                <c:formatCode>0.00</c:formatCode>
                <c:ptCount val="76"/>
                <c:pt idx="0">
                  <c:v>5.75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5.5</c:v>
                </c:pt>
                <c:pt idx="5">
                  <c:v>5.25</c:v>
                </c:pt>
                <c:pt idx="6">
                  <c:v>5.25</c:v>
                </c:pt>
                <c:pt idx="7">
                  <c:v>5.25</c:v>
                </c:pt>
                <c:pt idx="8">
                  <c:v>5.25</c:v>
                </c:pt>
                <c:pt idx="9">
                  <c:v>5.25</c:v>
                </c:pt>
                <c:pt idx="10">
                  <c:v>5.25</c:v>
                </c:pt>
                <c:pt idx="11">
                  <c:v>5.25</c:v>
                </c:pt>
                <c:pt idx="12">
                  <c:v>5.25</c:v>
                </c:pt>
                <c:pt idx="13">
                  <c:v>5.25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4.75</c:v>
                </c:pt>
                <c:pt idx="26">
                  <c:v>4.75</c:v>
                </c:pt>
                <c:pt idx="27">
                  <c:v>4.75</c:v>
                </c:pt>
                <c:pt idx="28">
                  <c:v>3.75</c:v>
                </c:pt>
                <c:pt idx="29">
                  <c:v>3.5</c:v>
                </c:pt>
                <c:pt idx="30">
                  <c:v>3.5</c:v>
                </c:pt>
                <c:pt idx="31">
                  <c:v>3.5</c:v>
                </c:pt>
                <c:pt idx="32">
                  <c:v>3.25</c:v>
                </c:pt>
                <c:pt idx="33">
                  <c:v>3.25</c:v>
                </c:pt>
                <c:pt idx="34">
                  <c:v>3</c:v>
                </c:pt>
                <c:pt idx="35">
                  <c:v>2.75</c:v>
                </c:pt>
                <c:pt idx="36">
                  <c:v>2.75</c:v>
                </c:pt>
                <c:pt idx="37">
                  <c:v>2.75</c:v>
                </c:pt>
                <c:pt idx="38">
                  <c:v>2.5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1.75</c:v>
                </c:pt>
                <c:pt idx="46">
                  <c:v>1.75</c:v>
                </c:pt>
                <c:pt idx="47">
                  <c:v>1.5</c:v>
                </c:pt>
                <c:pt idx="48">
                  <c:v>1.25</c:v>
                </c:pt>
                <c:pt idx="49">
                  <c:v>1.25</c:v>
                </c:pt>
                <c:pt idx="50">
                  <c:v>0.75</c:v>
                </c:pt>
                <c:pt idx="51">
                  <c:v>0.75</c:v>
                </c:pt>
                <c:pt idx="52">
                  <c:v>0.75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A0-47E2-B76F-C63278BE3D0B}"/>
            </c:ext>
          </c:extLst>
        </c:ser>
        <c:ser>
          <c:idx val="1"/>
          <c:order val="1"/>
          <c:tx>
            <c:v>3 months T bill rate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'rate and inflation'!$A$272:$A$347</c:f>
              <c:numCache>
                <c:formatCode>mmm\-yy</c:formatCode>
                <c:ptCount val="76"/>
                <c:pt idx="0">
                  <c:v>42064</c:v>
                </c:pt>
                <c:pt idx="1">
                  <c:v>42095</c:v>
                </c:pt>
                <c:pt idx="2">
                  <c:v>42125</c:v>
                </c:pt>
                <c:pt idx="3">
                  <c:v>42156</c:v>
                </c:pt>
                <c:pt idx="4">
                  <c:v>42186</c:v>
                </c:pt>
                <c:pt idx="5">
                  <c:v>42217</c:v>
                </c:pt>
                <c:pt idx="6">
                  <c:v>42248</c:v>
                </c:pt>
                <c:pt idx="7">
                  <c:v>42278</c:v>
                </c:pt>
                <c:pt idx="8">
                  <c:v>42309</c:v>
                </c:pt>
                <c:pt idx="9">
                  <c:v>42339</c:v>
                </c:pt>
                <c:pt idx="10">
                  <c:v>42370</c:v>
                </c:pt>
                <c:pt idx="11">
                  <c:v>42401</c:v>
                </c:pt>
                <c:pt idx="12">
                  <c:v>42430</c:v>
                </c:pt>
                <c:pt idx="13">
                  <c:v>42461</c:v>
                </c:pt>
                <c:pt idx="14">
                  <c:v>42491</c:v>
                </c:pt>
                <c:pt idx="15">
                  <c:v>42522</c:v>
                </c:pt>
                <c:pt idx="16">
                  <c:v>42552</c:v>
                </c:pt>
                <c:pt idx="17">
                  <c:v>42583</c:v>
                </c:pt>
                <c:pt idx="18">
                  <c:v>42614</c:v>
                </c:pt>
                <c:pt idx="19">
                  <c:v>42644</c:v>
                </c:pt>
                <c:pt idx="20">
                  <c:v>42675</c:v>
                </c:pt>
                <c:pt idx="21">
                  <c:v>42705</c:v>
                </c:pt>
                <c:pt idx="22">
                  <c:v>42736</c:v>
                </c:pt>
                <c:pt idx="23">
                  <c:v>42767</c:v>
                </c:pt>
                <c:pt idx="24">
                  <c:v>42795</c:v>
                </c:pt>
                <c:pt idx="25">
                  <c:v>42826</c:v>
                </c:pt>
                <c:pt idx="26">
                  <c:v>42856</c:v>
                </c:pt>
                <c:pt idx="27">
                  <c:v>42887</c:v>
                </c:pt>
                <c:pt idx="28">
                  <c:v>42917</c:v>
                </c:pt>
                <c:pt idx="29">
                  <c:v>42948</c:v>
                </c:pt>
                <c:pt idx="30">
                  <c:v>42979</c:v>
                </c:pt>
                <c:pt idx="31">
                  <c:v>43009</c:v>
                </c:pt>
                <c:pt idx="32">
                  <c:v>43040</c:v>
                </c:pt>
                <c:pt idx="33">
                  <c:v>43070</c:v>
                </c:pt>
                <c:pt idx="34">
                  <c:v>43101</c:v>
                </c:pt>
                <c:pt idx="35">
                  <c:v>43132</c:v>
                </c:pt>
                <c:pt idx="36">
                  <c:v>43160</c:v>
                </c:pt>
                <c:pt idx="37">
                  <c:v>43191</c:v>
                </c:pt>
                <c:pt idx="38">
                  <c:v>43221</c:v>
                </c:pt>
                <c:pt idx="39">
                  <c:v>43252</c:v>
                </c:pt>
                <c:pt idx="40">
                  <c:v>43282</c:v>
                </c:pt>
                <c:pt idx="41">
                  <c:v>43313</c:v>
                </c:pt>
                <c:pt idx="42">
                  <c:v>43344</c:v>
                </c:pt>
                <c:pt idx="43">
                  <c:v>43374</c:v>
                </c:pt>
                <c:pt idx="44">
                  <c:v>43405</c:v>
                </c:pt>
                <c:pt idx="45">
                  <c:v>43435</c:v>
                </c:pt>
                <c:pt idx="46">
                  <c:v>43466</c:v>
                </c:pt>
                <c:pt idx="47">
                  <c:v>43497</c:v>
                </c:pt>
                <c:pt idx="48">
                  <c:v>43525</c:v>
                </c:pt>
                <c:pt idx="49">
                  <c:v>43556</c:v>
                </c:pt>
                <c:pt idx="50">
                  <c:v>43586</c:v>
                </c:pt>
                <c:pt idx="51">
                  <c:v>43617</c:v>
                </c:pt>
                <c:pt idx="52">
                  <c:v>43647</c:v>
                </c:pt>
                <c:pt idx="53">
                  <c:v>43678</c:v>
                </c:pt>
                <c:pt idx="54">
                  <c:v>43709</c:v>
                </c:pt>
                <c:pt idx="55">
                  <c:v>43739</c:v>
                </c:pt>
                <c:pt idx="56">
                  <c:v>43770</c:v>
                </c:pt>
                <c:pt idx="57">
                  <c:v>43800</c:v>
                </c:pt>
                <c:pt idx="58">
                  <c:v>43831</c:v>
                </c:pt>
                <c:pt idx="59">
                  <c:v>43862</c:v>
                </c:pt>
                <c:pt idx="60">
                  <c:v>43891</c:v>
                </c:pt>
                <c:pt idx="61">
                  <c:v>43922</c:v>
                </c:pt>
                <c:pt idx="62">
                  <c:v>43952</c:v>
                </c:pt>
                <c:pt idx="63">
                  <c:v>43983</c:v>
                </c:pt>
                <c:pt idx="64">
                  <c:v>44013</c:v>
                </c:pt>
                <c:pt idx="65">
                  <c:v>44044</c:v>
                </c:pt>
                <c:pt idx="66">
                  <c:v>44075</c:v>
                </c:pt>
                <c:pt idx="67">
                  <c:v>44105</c:v>
                </c:pt>
                <c:pt idx="68">
                  <c:v>44136</c:v>
                </c:pt>
                <c:pt idx="69">
                  <c:v>44166</c:v>
                </c:pt>
                <c:pt idx="70">
                  <c:v>44197</c:v>
                </c:pt>
                <c:pt idx="71">
                  <c:v>44228</c:v>
                </c:pt>
                <c:pt idx="72">
                  <c:v>44256</c:v>
                </c:pt>
                <c:pt idx="73">
                  <c:v>44287</c:v>
                </c:pt>
                <c:pt idx="74">
                  <c:v>44334</c:v>
                </c:pt>
                <c:pt idx="75">
                  <c:v>44377</c:v>
                </c:pt>
              </c:numCache>
            </c:numRef>
          </c:cat>
          <c:val>
            <c:numRef>
              <c:f>'rate and inflation'!$C$272:$C$347</c:f>
              <c:numCache>
                <c:formatCode>0.00</c:formatCode>
                <c:ptCount val="76"/>
                <c:pt idx="0">
                  <c:v>6.73</c:v>
                </c:pt>
                <c:pt idx="1">
                  <c:v>6.61</c:v>
                </c:pt>
                <c:pt idx="2">
                  <c:v>6.57</c:v>
                </c:pt>
                <c:pt idx="3">
                  <c:v>6.48</c:v>
                </c:pt>
                <c:pt idx="4">
                  <c:v>6.44</c:v>
                </c:pt>
                <c:pt idx="5">
                  <c:v>6.35</c:v>
                </c:pt>
                <c:pt idx="6">
                  <c:v>6.2</c:v>
                </c:pt>
                <c:pt idx="7">
                  <c:v>6.13</c:v>
                </c:pt>
                <c:pt idx="8">
                  <c:v>6.15</c:v>
                </c:pt>
                <c:pt idx="9">
                  <c:v>5.96</c:v>
                </c:pt>
                <c:pt idx="10">
                  <c:v>5.94</c:v>
                </c:pt>
                <c:pt idx="11">
                  <c:v>6</c:v>
                </c:pt>
                <c:pt idx="12">
                  <c:v>5.75</c:v>
                </c:pt>
                <c:pt idx="13">
                  <c:v>5.65</c:v>
                </c:pt>
                <c:pt idx="14">
                  <c:v>5.8</c:v>
                </c:pt>
                <c:pt idx="15">
                  <c:v>5.86</c:v>
                </c:pt>
                <c:pt idx="16">
                  <c:v>5.77</c:v>
                </c:pt>
                <c:pt idx="17">
                  <c:v>5.73</c:v>
                </c:pt>
                <c:pt idx="18">
                  <c:v>5.86</c:v>
                </c:pt>
                <c:pt idx="19">
                  <c:v>5.7</c:v>
                </c:pt>
                <c:pt idx="20">
                  <c:v>5.7</c:v>
                </c:pt>
                <c:pt idx="21">
                  <c:v>5.68</c:v>
                </c:pt>
                <c:pt idx="22">
                  <c:v>5.62</c:v>
                </c:pt>
                <c:pt idx="23">
                  <c:v>5.92</c:v>
                </c:pt>
                <c:pt idx="24">
                  <c:v>6.13</c:v>
                </c:pt>
                <c:pt idx="25">
                  <c:v>5.72</c:v>
                </c:pt>
                <c:pt idx="26">
                  <c:v>5.65</c:v>
                </c:pt>
                <c:pt idx="27">
                  <c:v>5.77</c:v>
                </c:pt>
                <c:pt idx="28">
                  <c:v>5.63</c:v>
                </c:pt>
                <c:pt idx="29">
                  <c:v>5.5</c:v>
                </c:pt>
                <c:pt idx="30">
                  <c:v>4.9800000000000004</c:v>
                </c:pt>
                <c:pt idx="31">
                  <c:v>4.58</c:v>
                </c:pt>
                <c:pt idx="32">
                  <c:v>4.26</c:v>
                </c:pt>
                <c:pt idx="33">
                  <c:v>4.18</c:v>
                </c:pt>
                <c:pt idx="34">
                  <c:v>3.99</c:v>
                </c:pt>
                <c:pt idx="35">
                  <c:v>3.35</c:v>
                </c:pt>
                <c:pt idx="36">
                  <c:v>2.98</c:v>
                </c:pt>
                <c:pt idx="37">
                  <c:v>2.82</c:v>
                </c:pt>
                <c:pt idx="38">
                  <c:v>2.71</c:v>
                </c:pt>
                <c:pt idx="39">
                  <c:v>2.54</c:v>
                </c:pt>
                <c:pt idx="40">
                  <c:v>1.96</c:v>
                </c:pt>
                <c:pt idx="41">
                  <c:v>1.69</c:v>
                </c:pt>
                <c:pt idx="42">
                  <c:v>1.71</c:v>
                </c:pt>
                <c:pt idx="43">
                  <c:v>1.79</c:v>
                </c:pt>
                <c:pt idx="44">
                  <c:v>1.95</c:v>
                </c:pt>
                <c:pt idx="45">
                  <c:v>2.0499999999999998</c:v>
                </c:pt>
                <c:pt idx="46">
                  <c:v>2.27</c:v>
                </c:pt>
                <c:pt idx="47">
                  <c:v>2.27</c:v>
                </c:pt>
                <c:pt idx="48">
                  <c:v>2.19</c:v>
                </c:pt>
                <c:pt idx="49">
                  <c:v>2.16</c:v>
                </c:pt>
                <c:pt idx="50">
                  <c:v>2.1</c:v>
                </c:pt>
                <c:pt idx="51">
                  <c:v>1.95</c:v>
                </c:pt>
                <c:pt idx="52">
                  <c:v>1.8</c:v>
                </c:pt>
                <c:pt idx="53">
                  <c:v>1.84</c:v>
                </c:pt>
                <c:pt idx="54">
                  <c:v>1.74</c:v>
                </c:pt>
                <c:pt idx="55">
                  <c:v>1.55</c:v>
                </c:pt>
                <c:pt idx="56">
                  <c:v>1.61</c:v>
                </c:pt>
                <c:pt idx="57">
                  <c:v>1.32</c:v>
                </c:pt>
                <c:pt idx="58">
                  <c:v>1.25</c:v>
                </c:pt>
                <c:pt idx="59">
                  <c:v>1.34</c:v>
                </c:pt>
                <c:pt idx="60">
                  <c:v>1.85</c:v>
                </c:pt>
                <c:pt idx="61">
                  <c:v>1.08</c:v>
                </c:pt>
                <c:pt idx="62">
                  <c:v>1.78</c:v>
                </c:pt>
                <c:pt idx="63">
                  <c:v>1.28</c:v>
                </c:pt>
                <c:pt idx="64">
                  <c:v>1.1000000000000001</c:v>
                </c:pt>
                <c:pt idx="65">
                  <c:v>1.1299999999999999</c:v>
                </c:pt>
                <c:pt idx="66">
                  <c:v>1.1399999999999999</c:v>
                </c:pt>
                <c:pt idx="67">
                  <c:v>0.98</c:v>
                </c:pt>
                <c:pt idx="68">
                  <c:v>0.78</c:v>
                </c:pt>
                <c:pt idx="69">
                  <c:v>0.77</c:v>
                </c:pt>
                <c:pt idx="70">
                  <c:v>0.74</c:v>
                </c:pt>
                <c:pt idx="71">
                  <c:v>1.53</c:v>
                </c:pt>
                <c:pt idx="72">
                  <c:v>1.23</c:v>
                </c:pt>
                <c:pt idx="73">
                  <c:v>1.94</c:v>
                </c:pt>
                <c:pt idx="74">
                  <c:v>0.94</c:v>
                </c:pt>
                <c:pt idx="75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A0-47E2-B76F-C63278BE3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6449392"/>
        <c:axId val="586453136"/>
      </c:lineChart>
      <c:lineChart>
        <c:grouping val="standard"/>
        <c:varyColors val="0"/>
        <c:ser>
          <c:idx val="3"/>
          <c:order val="2"/>
          <c:tx>
            <c:v>Lending rates (weighted)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'rate and inflation'!$A$272:$A$347</c:f>
              <c:numCache>
                <c:formatCode>mmm\-yy</c:formatCode>
                <c:ptCount val="76"/>
                <c:pt idx="0">
                  <c:v>42064</c:v>
                </c:pt>
                <c:pt idx="1">
                  <c:v>42095</c:v>
                </c:pt>
                <c:pt idx="2">
                  <c:v>42125</c:v>
                </c:pt>
                <c:pt idx="3">
                  <c:v>42156</c:v>
                </c:pt>
                <c:pt idx="4">
                  <c:v>42186</c:v>
                </c:pt>
                <c:pt idx="5">
                  <c:v>42217</c:v>
                </c:pt>
                <c:pt idx="6">
                  <c:v>42248</c:v>
                </c:pt>
                <c:pt idx="7">
                  <c:v>42278</c:v>
                </c:pt>
                <c:pt idx="8">
                  <c:v>42309</c:v>
                </c:pt>
                <c:pt idx="9">
                  <c:v>42339</c:v>
                </c:pt>
                <c:pt idx="10">
                  <c:v>42370</c:v>
                </c:pt>
                <c:pt idx="11">
                  <c:v>42401</c:v>
                </c:pt>
                <c:pt idx="12">
                  <c:v>42430</c:v>
                </c:pt>
                <c:pt idx="13">
                  <c:v>42461</c:v>
                </c:pt>
                <c:pt idx="14">
                  <c:v>42491</c:v>
                </c:pt>
                <c:pt idx="15">
                  <c:v>42522</c:v>
                </c:pt>
                <c:pt idx="16">
                  <c:v>42552</c:v>
                </c:pt>
                <c:pt idx="17">
                  <c:v>42583</c:v>
                </c:pt>
                <c:pt idx="18">
                  <c:v>42614</c:v>
                </c:pt>
                <c:pt idx="19">
                  <c:v>42644</c:v>
                </c:pt>
                <c:pt idx="20">
                  <c:v>42675</c:v>
                </c:pt>
                <c:pt idx="21">
                  <c:v>42705</c:v>
                </c:pt>
                <c:pt idx="22">
                  <c:v>42736</c:v>
                </c:pt>
                <c:pt idx="23">
                  <c:v>42767</c:v>
                </c:pt>
                <c:pt idx="24">
                  <c:v>42795</c:v>
                </c:pt>
                <c:pt idx="25">
                  <c:v>42826</c:v>
                </c:pt>
                <c:pt idx="26">
                  <c:v>42856</c:v>
                </c:pt>
                <c:pt idx="27">
                  <c:v>42887</c:v>
                </c:pt>
                <c:pt idx="28">
                  <c:v>42917</c:v>
                </c:pt>
                <c:pt idx="29">
                  <c:v>42948</c:v>
                </c:pt>
                <c:pt idx="30">
                  <c:v>42979</c:v>
                </c:pt>
                <c:pt idx="31">
                  <c:v>43009</c:v>
                </c:pt>
                <c:pt idx="32">
                  <c:v>43040</c:v>
                </c:pt>
                <c:pt idx="33">
                  <c:v>43070</c:v>
                </c:pt>
                <c:pt idx="34">
                  <c:v>43101</c:v>
                </c:pt>
                <c:pt idx="35">
                  <c:v>43132</c:v>
                </c:pt>
                <c:pt idx="36">
                  <c:v>43160</c:v>
                </c:pt>
                <c:pt idx="37">
                  <c:v>43191</c:v>
                </c:pt>
                <c:pt idx="38">
                  <c:v>43221</c:v>
                </c:pt>
                <c:pt idx="39">
                  <c:v>43252</c:v>
                </c:pt>
                <c:pt idx="40">
                  <c:v>43282</c:v>
                </c:pt>
                <c:pt idx="41">
                  <c:v>43313</c:v>
                </c:pt>
                <c:pt idx="42">
                  <c:v>43344</c:v>
                </c:pt>
                <c:pt idx="43">
                  <c:v>43374</c:v>
                </c:pt>
                <c:pt idx="44">
                  <c:v>43405</c:v>
                </c:pt>
                <c:pt idx="45">
                  <c:v>43435</c:v>
                </c:pt>
                <c:pt idx="46">
                  <c:v>43466</c:v>
                </c:pt>
                <c:pt idx="47">
                  <c:v>43497</c:v>
                </c:pt>
                <c:pt idx="48">
                  <c:v>43525</c:v>
                </c:pt>
                <c:pt idx="49">
                  <c:v>43556</c:v>
                </c:pt>
                <c:pt idx="50">
                  <c:v>43586</c:v>
                </c:pt>
                <c:pt idx="51">
                  <c:v>43617</c:v>
                </c:pt>
                <c:pt idx="52">
                  <c:v>43647</c:v>
                </c:pt>
                <c:pt idx="53">
                  <c:v>43678</c:v>
                </c:pt>
                <c:pt idx="54">
                  <c:v>43709</c:v>
                </c:pt>
                <c:pt idx="55">
                  <c:v>43739</c:v>
                </c:pt>
                <c:pt idx="56">
                  <c:v>43770</c:v>
                </c:pt>
                <c:pt idx="57">
                  <c:v>43800</c:v>
                </c:pt>
                <c:pt idx="58">
                  <c:v>43831</c:v>
                </c:pt>
                <c:pt idx="59">
                  <c:v>43862</c:v>
                </c:pt>
                <c:pt idx="60">
                  <c:v>43891</c:v>
                </c:pt>
                <c:pt idx="61">
                  <c:v>43922</c:v>
                </c:pt>
                <c:pt idx="62">
                  <c:v>43952</c:v>
                </c:pt>
                <c:pt idx="63">
                  <c:v>43983</c:v>
                </c:pt>
                <c:pt idx="64">
                  <c:v>44013</c:v>
                </c:pt>
                <c:pt idx="65">
                  <c:v>44044</c:v>
                </c:pt>
                <c:pt idx="66">
                  <c:v>44075</c:v>
                </c:pt>
                <c:pt idx="67">
                  <c:v>44105</c:v>
                </c:pt>
                <c:pt idx="68">
                  <c:v>44136</c:v>
                </c:pt>
                <c:pt idx="69">
                  <c:v>44166</c:v>
                </c:pt>
                <c:pt idx="70">
                  <c:v>44197</c:v>
                </c:pt>
                <c:pt idx="71">
                  <c:v>44228</c:v>
                </c:pt>
                <c:pt idx="72">
                  <c:v>44256</c:v>
                </c:pt>
                <c:pt idx="73">
                  <c:v>44287</c:v>
                </c:pt>
                <c:pt idx="74">
                  <c:v>44334</c:v>
                </c:pt>
                <c:pt idx="75">
                  <c:v>44377</c:v>
                </c:pt>
              </c:numCache>
            </c:numRef>
          </c:cat>
          <c:val>
            <c:numRef>
              <c:f>'rate and inflation'!$E$272:$E$347</c:f>
              <c:numCache>
                <c:formatCode>0.00</c:formatCode>
                <c:ptCount val="76"/>
                <c:pt idx="0">
                  <c:v>17.098851686283215</c:v>
                </c:pt>
                <c:pt idx="1">
                  <c:v>16.66066482316868</c:v>
                </c:pt>
                <c:pt idx="2">
                  <c:v>17.079184075841255</c:v>
                </c:pt>
                <c:pt idx="3">
                  <c:v>17.170732275776871</c:v>
                </c:pt>
                <c:pt idx="4">
                  <c:v>16.83804431102385</c:v>
                </c:pt>
                <c:pt idx="5">
                  <c:v>17.169361963589733</c:v>
                </c:pt>
                <c:pt idx="6">
                  <c:v>16.986137045188659</c:v>
                </c:pt>
                <c:pt idx="7">
                  <c:v>17.006939835914842</c:v>
                </c:pt>
                <c:pt idx="8">
                  <c:v>17.032082615670831</c:v>
                </c:pt>
                <c:pt idx="9">
                  <c:v>16.924594414630466</c:v>
                </c:pt>
                <c:pt idx="10">
                  <c:v>17.273793742366223</c:v>
                </c:pt>
                <c:pt idx="11">
                  <c:v>16.805507838132801</c:v>
                </c:pt>
                <c:pt idx="12">
                  <c:v>16.670144840823816</c:v>
                </c:pt>
                <c:pt idx="13">
                  <c:v>16.606360732771115</c:v>
                </c:pt>
                <c:pt idx="14">
                  <c:v>16.498428959019172</c:v>
                </c:pt>
                <c:pt idx="15">
                  <c:v>16.436878813840682</c:v>
                </c:pt>
                <c:pt idx="16">
                  <c:v>16.407892235922269</c:v>
                </c:pt>
                <c:pt idx="17">
                  <c:v>16.327489793162211</c:v>
                </c:pt>
                <c:pt idx="18">
                  <c:v>16.221872436280751</c:v>
                </c:pt>
                <c:pt idx="19">
                  <c:v>16.208509898374512</c:v>
                </c:pt>
                <c:pt idx="20">
                  <c:v>16.209025557887408</c:v>
                </c:pt>
                <c:pt idx="21">
                  <c:v>16.196420597021042</c:v>
                </c:pt>
                <c:pt idx="22">
                  <c:v>16.120535475027474</c:v>
                </c:pt>
                <c:pt idx="23">
                  <c:v>14.983950845950119</c:v>
                </c:pt>
                <c:pt idx="24">
                  <c:v>14.935499559756531</c:v>
                </c:pt>
                <c:pt idx="25">
                  <c:v>14.83307543763858</c:v>
                </c:pt>
                <c:pt idx="26">
                  <c:v>14.818473192557779</c:v>
                </c:pt>
                <c:pt idx="27">
                  <c:v>14.951996898540237</c:v>
                </c:pt>
                <c:pt idx="28">
                  <c:v>14.840522851107973</c:v>
                </c:pt>
                <c:pt idx="29">
                  <c:v>14.809748278962726</c:v>
                </c:pt>
                <c:pt idx="30">
                  <c:v>14.635526152713798</c:v>
                </c:pt>
                <c:pt idx="31">
                  <c:v>14.615621115862025</c:v>
                </c:pt>
                <c:pt idx="32">
                  <c:v>14.62633172678661</c:v>
                </c:pt>
                <c:pt idx="33">
                  <c:v>14.585570720553424</c:v>
                </c:pt>
                <c:pt idx="34">
                  <c:v>14.458581804610581</c:v>
                </c:pt>
                <c:pt idx="35">
                  <c:v>14.40302349384079</c:v>
                </c:pt>
                <c:pt idx="36">
                  <c:v>14.319380046213464</c:v>
                </c:pt>
                <c:pt idx="37">
                  <c:v>14.140732694356265</c:v>
                </c:pt>
                <c:pt idx="38">
                  <c:v>14.178954903899465</c:v>
                </c:pt>
                <c:pt idx="39">
                  <c:v>14.106882407249094</c:v>
                </c:pt>
                <c:pt idx="40">
                  <c:v>14.051467155622751</c:v>
                </c:pt>
                <c:pt idx="41">
                  <c:v>14.071481848194047</c:v>
                </c:pt>
                <c:pt idx="42">
                  <c:v>14.029470529509732</c:v>
                </c:pt>
                <c:pt idx="43">
                  <c:v>13.863046880588055</c:v>
                </c:pt>
                <c:pt idx="44">
                  <c:v>14.049931000434905</c:v>
                </c:pt>
                <c:pt idx="45">
                  <c:v>13.455932033275463</c:v>
                </c:pt>
                <c:pt idx="46">
                  <c:v>13.317653751107528</c:v>
                </c:pt>
                <c:pt idx="47">
                  <c:v>13.301840221451236</c:v>
                </c:pt>
                <c:pt idx="48">
                  <c:v>13.30002398562454</c:v>
                </c:pt>
                <c:pt idx="49">
                  <c:v>13.24936902552205</c:v>
                </c:pt>
                <c:pt idx="50">
                  <c:v>13.35300287064744</c:v>
                </c:pt>
                <c:pt idx="51">
                  <c:v>13.094340803626995</c:v>
                </c:pt>
                <c:pt idx="52">
                  <c:v>12.99911378016788</c:v>
                </c:pt>
                <c:pt idx="53">
                  <c:v>12.936100531739923</c:v>
                </c:pt>
                <c:pt idx="54">
                  <c:v>12.902943564326074</c:v>
                </c:pt>
                <c:pt idx="55">
                  <c:v>12.640094930586754</c:v>
                </c:pt>
                <c:pt idx="56">
                  <c:v>12.420151844873923</c:v>
                </c:pt>
                <c:pt idx="57">
                  <c:v>12.466827904419663</c:v>
                </c:pt>
                <c:pt idx="58">
                  <c:v>12.366149922114936</c:v>
                </c:pt>
                <c:pt idx="59">
                  <c:v>12.309034612523147</c:v>
                </c:pt>
                <c:pt idx="60">
                  <c:v>12.349218288455836</c:v>
                </c:pt>
                <c:pt idx="61">
                  <c:v>12.171414116208696</c:v>
                </c:pt>
                <c:pt idx="62">
                  <c:v>12.115198412996651</c:v>
                </c:pt>
                <c:pt idx="63">
                  <c:v>12.05270777696246</c:v>
                </c:pt>
                <c:pt idx="64">
                  <c:v>12.001103375019909</c:v>
                </c:pt>
                <c:pt idx="65">
                  <c:v>11.950128562608654</c:v>
                </c:pt>
                <c:pt idx="66">
                  <c:v>11.90582930073267</c:v>
                </c:pt>
                <c:pt idx="67">
                  <c:v>11.838765172486616</c:v>
                </c:pt>
                <c:pt idx="68">
                  <c:v>11.838408681022388</c:v>
                </c:pt>
                <c:pt idx="69">
                  <c:v>11.798456447362073</c:v>
                </c:pt>
                <c:pt idx="70">
                  <c:v>11.757135730811532</c:v>
                </c:pt>
                <c:pt idx="71">
                  <c:v>11.745728485783216</c:v>
                </c:pt>
                <c:pt idx="72">
                  <c:v>11.609249329867547</c:v>
                </c:pt>
                <c:pt idx="73">
                  <c:v>11.651474111321511</c:v>
                </c:pt>
                <c:pt idx="74">
                  <c:v>11.159100650373325</c:v>
                </c:pt>
                <c:pt idx="75">
                  <c:v>11.579139849481574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A0-47E2-B76F-C63278BE3D0B}"/>
            </c:ext>
          </c:extLst>
        </c:ser>
        <c:ser>
          <c:idx val="2"/>
          <c:order val="3"/>
          <c:tx>
            <c:v>Deposit rates (weighted)</c:v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'rate and inflation'!$D$272:$D$347</c:f>
              <c:numCache>
                <c:formatCode>0.00</c:formatCode>
                <c:ptCount val="76"/>
                <c:pt idx="0">
                  <c:v>1.69</c:v>
                </c:pt>
                <c:pt idx="1">
                  <c:v>1.75</c:v>
                </c:pt>
                <c:pt idx="2">
                  <c:v>1.8</c:v>
                </c:pt>
                <c:pt idx="3">
                  <c:v>1.71</c:v>
                </c:pt>
                <c:pt idx="4">
                  <c:v>1.75</c:v>
                </c:pt>
                <c:pt idx="5">
                  <c:v>1.68</c:v>
                </c:pt>
                <c:pt idx="6">
                  <c:v>1.69</c:v>
                </c:pt>
                <c:pt idx="7">
                  <c:v>1.76</c:v>
                </c:pt>
                <c:pt idx="8">
                  <c:v>1.45</c:v>
                </c:pt>
                <c:pt idx="9">
                  <c:v>1.62</c:v>
                </c:pt>
                <c:pt idx="10">
                  <c:v>1.56</c:v>
                </c:pt>
                <c:pt idx="11">
                  <c:v>1.56</c:v>
                </c:pt>
                <c:pt idx="12">
                  <c:v>1.47</c:v>
                </c:pt>
                <c:pt idx="13">
                  <c:v>1.37</c:v>
                </c:pt>
                <c:pt idx="14">
                  <c:v>1.4</c:v>
                </c:pt>
                <c:pt idx="15">
                  <c:v>1.4</c:v>
                </c:pt>
                <c:pt idx="16">
                  <c:v>1.41</c:v>
                </c:pt>
                <c:pt idx="17">
                  <c:v>1.45</c:v>
                </c:pt>
                <c:pt idx="18">
                  <c:v>1.39</c:v>
                </c:pt>
                <c:pt idx="19">
                  <c:v>1.44</c:v>
                </c:pt>
                <c:pt idx="20">
                  <c:v>1.44</c:v>
                </c:pt>
                <c:pt idx="21">
                  <c:v>1.34</c:v>
                </c:pt>
                <c:pt idx="22">
                  <c:v>1.41</c:v>
                </c:pt>
                <c:pt idx="23">
                  <c:v>1.42</c:v>
                </c:pt>
                <c:pt idx="24">
                  <c:v>1.42</c:v>
                </c:pt>
                <c:pt idx="25">
                  <c:v>1.41</c:v>
                </c:pt>
                <c:pt idx="26">
                  <c:v>1.39</c:v>
                </c:pt>
                <c:pt idx="27">
                  <c:v>1.61</c:v>
                </c:pt>
                <c:pt idx="28">
                  <c:v>1.68</c:v>
                </c:pt>
                <c:pt idx="29">
                  <c:v>1.83</c:v>
                </c:pt>
                <c:pt idx="30">
                  <c:v>1.81</c:v>
                </c:pt>
                <c:pt idx="31">
                  <c:v>1.86</c:v>
                </c:pt>
                <c:pt idx="32">
                  <c:v>1.64</c:v>
                </c:pt>
                <c:pt idx="33">
                  <c:v>1.57</c:v>
                </c:pt>
                <c:pt idx="34">
                  <c:v>1.61</c:v>
                </c:pt>
                <c:pt idx="35">
                  <c:v>1.64</c:v>
                </c:pt>
                <c:pt idx="36">
                  <c:v>1.48</c:v>
                </c:pt>
                <c:pt idx="37">
                  <c:v>1.44</c:v>
                </c:pt>
                <c:pt idx="38">
                  <c:v>1.41</c:v>
                </c:pt>
                <c:pt idx="39">
                  <c:v>1.38</c:v>
                </c:pt>
                <c:pt idx="40">
                  <c:v>1.36</c:v>
                </c:pt>
                <c:pt idx="41">
                  <c:v>1.32</c:v>
                </c:pt>
                <c:pt idx="42">
                  <c:v>1.31</c:v>
                </c:pt>
                <c:pt idx="43">
                  <c:v>1.26</c:v>
                </c:pt>
                <c:pt idx="44">
                  <c:v>1.43</c:v>
                </c:pt>
                <c:pt idx="45">
                  <c:v>1.28</c:v>
                </c:pt>
                <c:pt idx="46">
                  <c:v>1.28</c:v>
                </c:pt>
                <c:pt idx="47">
                  <c:v>1.3</c:v>
                </c:pt>
                <c:pt idx="48">
                  <c:v>1.23</c:v>
                </c:pt>
                <c:pt idx="49">
                  <c:v>1.25</c:v>
                </c:pt>
                <c:pt idx="50">
                  <c:v>1.26</c:v>
                </c:pt>
                <c:pt idx="51">
                  <c:v>1.18</c:v>
                </c:pt>
                <c:pt idx="52">
                  <c:v>1.1599999999999999</c:v>
                </c:pt>
                <c:pt idx="53">
                  <c:v>1.1000000000000001</c:v>
                </c:pt>
                <c:pt idx="54">
                  <c:v>1.1000000000000001</c:v>
                </c:pt>
                <c:pt idx="55">
                  <c:v>1.08</c:v>
                </c:pt>
                <c:pt idx="56">
                  <c:v>1.1000000000000001</c:v>
                </c:pt>
                <c:pt idx="57">
                  <c:v>1.1000000000000001</c:v>
                </c:pt>
                <c:pt idx="58">
                  <c:v>1.07</c:v>
                </c:pt>
                <c:pt idx="59">
                  <c:v>1.07</c:v>
                </c:pt>
                <c:pt idx="60">
                  <c:v>1.07</c:v>
                </c:pt>
                <c:pt idx="61">
                  <c:v>1.04</c:v>
                </c:pt>
                <c:pt idx="62">
                  <c:v>1.05</c:v>
                </c:pt>
                <c:pt idx="63">
                  <c:v>1.06</c:v>
                </c:pt>
                <c:pt idx="64">
                  <c:v>1.05</c:v>
                </c:pt>
                <c:pt idx="65">
                  <c:v>1.04</c:v>
                </c:pt>
                <c:pt idx="66">
                  <c:v>1.03</c:v>
                </c:pt>
                <c:pt idx="67">
                  <c:v>1.08</c:v>
                </c:pt>
                <c:pt idx="68">
                  <c:v>1.1000000000000001</c:v>
                </c:pt>
                <c:pt idx="69">
                  <c:v>1.0900000000000001</c:v>
                </c:pt>
                <c:pt idx="70">
                  <c:v>1.08</c:v>
                </c:pt>
                <c:pt idx="71">
                  <c:v>1.04</c:v>
                </c:pt>
                <c:pt idx="72">
                  <c:v>1.04</c:v>
                </c:pt>
                <c:pt idx="73">
                  <c:v>1.01</c:v>
                </c:pt>
                <c:pt idx="74">
                  <c:v>1.02</c:v>
                </c:pt>
                <c:pt idx="75">
                  <c:v>1.01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BA0-47E2-B76F-C63278BE3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0603471"/>
        <c:axId val="1190606799"/>
      </c:lineChart>
      <c:dateAx>
        <c:axId val="586449392"/>
        <c:scaling>
          <c:orientation val="minMax"/>
          <c:min val="42005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86453136"/>
        <c:crosses val="autoZero"/>
        <c:auto val="1"/>
        <c:lblOffset val="100"/>
        <c:baseTimeUnit val="months"/>
        <c:majorUnit val="12"/>
        <c:majorTimeUnit val="months"/>
      </c:dateAx>
      <c:valAx>
        <c:axId val="58645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86449392"/>
        <c:crosses val="autoZero"/>
        <c:crossBetween val="between"/>
      </c:valAx>
      <c:valAx>
        <c:axId val="1190606799"/>
        <c:scaling>
          <c:orientation val="minMax"/>
        </c:scaling>
        <c:delete val="1"/>
        <c:axPos val="r"/>
        <c:numFmt formatCode="0.00" sourceLinked="1"/>
        <c:majorTickMark val="out"/>
        <c:minorTickMark val="none"/>
        <c:tickLblPos val="nextTo"/>
        <c:crossAx val="1190603471"/>
        <c:crosses val="max"/>
        <c:crossBetween val="between"/>
      </c:valAx>
      <c:dateAx>
        <c:axId val="119060347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19060679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9601001953863277"/>
          <c:y val="0.1407081137329744"/>
          <c:w val="0.48167654246059"/>
          <c:h val="0.211008876699401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Deposits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Deposits!$A$94</c:f>
              <c:strCache>
                <c:ptCount val="1"/>
                <c:pt idx="0">
                  <c:v>Jan-15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Deposits!$B$94</c:f>
              <c:numCache>
                <c:formatCode>0.00</c:formatCode>
                <c:ptCount val="1"/>
                <c:pt idx="0">
                  <c:v>31.592071000000001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23-46EE-BE41-2FE0AC744296}"/>
            </c:ext>
          </c:extLst>
        </c:ser>
        <c:ser>
          <c:idx val="1"/>
          <c:order val="1"/>
          <c:tx>
            <c:strRef>
              <c:f>Deposits!$A$95</c:f>
              <c:strCache>
                <c:ptCount val="1"/>
                <c:pt idx="0">
                  <c:v>Jan-16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Deposits!$B$95</c:f>
              <c:numCache>
                <c:formatCode>0.00</c:formatCode>
                <c:ptCount val="1"/>
                <c:pt idx="0">
                  <c:v>35.200741000000001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23-46EE-BE41-2FE0AC744296}"/>
            </c:ext>
          </c:extLst>
        </c:ser>
        <c:ser>
          <c:idx val="2"/>
          <c:order val="2"/>
          <c:tx>
            <c:strRef>
              <c:f>Deposits!$A$96</c:f>
              <c:strCache>
                <c:ptCount val="1"/>
                <c:pt idx="0">
                  <c:v>Jan-17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Deposits!$B$96</c:f>
              <c:numCache>
                <c:formatCode>0.00</c:formatCode>
                <c:ptCount val="1"/>
                <c:pt idx="0">
                  <c:v>40.080902000000002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23-46EE-BE41-2FE0AC744296}"/>
            </c:ext>
          </c:extLst>
        </c:ser>
        <c:ser>
          <c:idx val="3"/>
          <c:order val="3"/>
          <c:tx>
            <c:strRef>
              <c:f>Deposits!$A$97</c:f>
              <c:strCache>
                <c:ptCount val="1"/>
                <c:pt idx="0">
                  <c:v>Jan-18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Deposits!$B$97</c:f>
              <c:numCache>
                <c:formatCode>0.00</c:formatCode>
                <c:ptCount val="1"/>
                <c:pt idx="0">
                  <c:v>46.753323000000002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23-46EE-BE41-2FE0AC744296}"/>
            </c:ext>
          </c:extLst>
        </c:ser>
        <c:ser>
          <c:idx val="4"/>
          <c:order val="4"/>
          <c:tx>
            <c:strRef>
              <c:f>Deposits!$A$98</c:f>
              <c:strCache>
                <c:ptCount val="1"/>
                <c:pt idx="0">
                  <c:v>Jan-19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Deposits!$B$98</c:f>
              <c:numCache>
                <c:formatCode>0.00</c:formatCode>
                <c:ptCount val="1"/>
                <c:pt idx="0">
                  <c:v>51.758696999999998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A23-46EE-BE41-2FE0AC744296}"/>
            </c:ext>
          </c:extLst>
        </c:ser>
        <c:ser>
          <c:idx val="5"/>
          <c:order val="5"/>
          <c:tx>
            <c:strRef>
              <c:f>Deposits!$A$99</c:f>
              <c:strCache>
                <c:ptCount val="1"/>
                <c:pt idx="0">
                  <c:v>Jan-20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Deposits!$B$99</c:f>
              <c:numCache>
                <c:formatCode>0.00</c:formatCode>
                <c:ptCount val="1"/>
                <c:pt idx="0">
                  <c:v>49.789982999999999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A23-46EE-BE41-2FE0AC744296}"/>
            </c:ext>
          </c:extLst>
        </c:ser>
        <c:ser>
          <c:idx val="6"/>
          <c:order val="6"/>
          <c:tx>
            <c:strRef>
              <c:f>Deposits!$A$100</c:f>
              <c:strCache>
                <c:ptCount val="1"/>
                <c:pt idx="0">
                  <c:v>Jan-21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Deposits!$B$100</c:f>
              <c:numCache>
                <c:formatCode>0.00</c:formatCode>
                <c:ptCount val="1"/>
                <c:pt idx="0">
                  <c:v>42.657771999999994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A23-46EE-BE41-2FE0AC744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961263"/>
        <c:axId val="141959599"/>
      </c:barChart>
      <c:catAx>
        <c:axId val="141961263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59599"/>
        <c:crosses val="autoZero"/>
        <c:auto val="1"/>
        <c:lblAlgn val="ctr"/>
        <c:lblOffset val="100"/>
        <c:tickLblSkip val="12"/>
        <c:noMultiLvlLbl val="0"/>
      </c:catAx>
      <c:valAx>
        <c:axId val="14195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61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70C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rgbClr val="0070C0"/>
                </a:solidFill>
              </a:rPr>
              <a:t>Central Government balance</a:t>
            </a:r>
          </a:p>
          <a:p>
            <a:pPr>
              <a:defRPr sz="1200" b="1">
                <a:solidFill>
                  <a:srgbClr val="0070C0"/>
                </a:solidFill>
              </a:defRPr>
            </a:pPr>
            <a:r>
              <a:rPr lang="en-US" sz="1200" b="1">
                <a:solidFill>
                  <a:srgbClr val="0070C0"/>
                </a:solidFill>
              </a:rPr>
              <a:t>(in percent of GDP)</a:t>
            </a:r>
          </a:p>
        </c:rich>
      </c:tx>
      <c:layout>
        <c:manualLayout>
          <c:xMode val="edge"/>
          <c:yMode val="edge"/>
          <c:x val="3.0229002624671923E-2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70C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Fiscal balance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'fiscal panel'!$D$32:$N$32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'fiscal panel'!$D$33:$N$33</c:f>
              <c:numCache>
                <c:formatCode>0.0</c:formatCode>
                <c:ptCount val="11"/>
                <c:pt idx="0">
                  <c:v>-6.3325270356410464</c:v>
                </c:pt>
                <c:pt idx="1">
                  <c:v>-6.4032692750013886</c:v>
                </c:pt>
                <c:pt idx="2">
                  <c:v>-4.0766689971409633</c:v>
                </c:pt>
                <c:pt idx="3">
                  <c:v>0.11898008672094562</c:v>
                </c:pt>
                <c:pt idx="4">
                  <c:v>-0.4956091889819696</c:v>
                </c:pt>
                <c:pt idx="5">
                  <c:v>-0.28917251306001646</c:v>
                </c:pt>
                <c:pt idx="6">
                  <c:v>-0.19442447341409164</c:v>
                </c:pt>
                <c:pt idx="7">
                  <c:v>0.45234368395403735</c:v>
                </c:pt>
                <c:pt idx="8">
                  <c:v>1.1810962429478771</c:v>
                </c:pt>
                <c:pt idx="9">
                  <c:v>0.91485024575773721</c:v>
                </c:pt>
                <c:pt idx="10">
                  <c:v>-3.9452827814198237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F3-429B-978F-C08C06AAB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4328528"/>
        <c:axId val="1154342256"/>
      </c:barChart>
      <c:catAx>
        <c:axId val="115432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54342256"/>
        <c:crosses val="autoZero"/>
        <c:auto val="1"/>
        <c:lblAlgn val="ctr"/>
        <c:lblOffset val="100"/>
        <c:noMultiLvlLbl val="0"/>
      </c:catAx>
      <c:valAx>
        <c:axId val="115434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54328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rgbClr val="0070C0"/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70C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rgbClr val="0070C0"/>
                </a:solidFill>
              </a:rPr>
              <a:t>Central Government Revenues and Expenditures</a:t>
            </a:r>
          </a:p>
          <a:p>
            <a:pPr>
              <a:defRPr b="1">
                <a:solidFill>
                  <a:srgbClr val="0070C0"/>
                </a:solidFill>
              </a:defRPr>
            </a:pPr>
            <a:r>
              <a:rPr lang="en-US" b="1">
                <a:solidFill>
                  <a:srgbClr val="0070C0"/>
                </a:solidFill>
              </a:rPr>
              <a:t>(in percent of GDP)</a:t>
            </a:r>
          </a:p>
        </c:rich>
      </c:tx>
      <c:layout>
        <c:manualLayout>
          <c:xMode val="edge"/>
          <c:yMode val="edge"/>
          <c:x val="3.7243000874890637E-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70C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826159230096237"/>
          <c:y val="0.20875000000000005"/>
          <c:w val="0.81886264216972882"/>
          <c:h val="0.68385061242344702"/>
        </c:manualLayout>
      </c:layout>
      <c:lineChart>
        <c:grouping val="standard"/>
        <c:varyColors val="0"/>
        <c:ser>
          <c:idx val="0"/>
          <c:order val="0"/>
          <c:tx>
            <c:strRef>
              <c:f>'fiscal panel'!$C$56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'fiscal panel'!$D$55:$N$55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'fiscal panel'!$D$56:$N$56</c:f>
              <c:numCache>
                <c:formatCode>0.0</c:formatCode>
                <c:ptCount val="11"/>
                <c:pt idx="0">
                  <c:v>26.842225178538055</c:v>
                </c:pt>
                <c:pt idx="1">
                  <c:v>25.574999008589579</c:v>
                </c:pt>
                <c:pt idx="2">
                  <c:v>25.729494852110857</c:v>
                </c:pt>
                <c:pt idx="3">
                  <c:v>27.146621148948398</c:v>
                </c:pt>
                <c:pt idx="4">
                  <c:v>26.245723530636468</c:v>
                </c:pt>
                <c:pt idx="5">
                  <c:v>26.989570693449654</c:v>
                </c:pt>
                <c:pt idx="6">
                  <c:v>27.958722951287001</c:v>
                </c:pt>
                <c:pt idx="7">
                  <c:v>29.078536943490178</c:v>
                </c:pt>
                <c:pt idx="8">
                  <c:v>30.626558713388576</c:v>
                </c:pt>
                <c:pt idx="9">
                  <c:v>30.633311373633198</c:v>
                </c:pt>
                <c:pt idx="10">
                  <c:v>29.151210372624885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50-47F8-B837-853474351EDD}"/>
            </c:ext>
          </c:extLst>
        </c:ser>
        <c:ser>
          <c:idx val="1"/>
          <c:order val="1"/>
          <c:tx>
            <c:strRef>
              <c:f>'fiscal panel'!$C$57</c:f>
              <c:strCache>
                <c:ptCount val="1"/>
                <c:pt idx="0">
                  <c:v>Total expenditure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'fiscal panel'!$D$55:$N$55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'fiscal panel'!$D$57:$N$57</c:f>
              <c:numCache>
                <c:formatCode>0.0</c:formatCode>
                <c:ptCount val="11"/>
                <c:pt idx="0">
                  <c:v>33.174752214179101</c:v>
                </c:pt>
                <c:pt idx="1">
                  <c:v>31.978268283590968</c:v>
                </c:pt>
                <c:pt idx="2">
                  <c:v>29.806163849251821</c:v>
                </c:pt>
                <c:pt idx="3">
                  <c:v>27.027641062227453</c:v>
                </c:pt>
                <c:pt idx="4">
                  <c:v>26.741332719618438</c:v>
                </c:pt>
                <c:pt idx="5">
                  <c:v>27.27874320650967</c:v>
                </c:pt>
                <c:pt idx="6">
                  <c:v>28.153147424701093</c:v>
                </c:pt>
                <c:pt idx="7">
                  <c:v>28.626193259536141</c:v>
                </c:pt>
                <c:pt idx="8">
                  <c:v>29.445462470440699</c:v>
                </c:pt>
                <c:pt idx="9">
                  <c:v>29.718461127875461</c:v>
                </c:pt>
                <c:pt idx="10">
                  <c:v>33.096493154044708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50-47F8-B837-853474351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4115136"/>
        <c:axId val="1994118464"/>
      </c:lineChart>
      <c:catAx>
        <c:axId val="199411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94118464"/>
        <c:crosses val="autoZero"/>
        <c:auto val="1"/>
        <c:lblAlgn val="ctr"/>
        <c:lblOffset val="100"/>
        <c:noMultiLvlLbl val="0"/>
      </c:catAx>
      <c:valAx>
        <c:axId val="1994118464"/>
        <c:scaling>
          <c:orientation val="minMax"/>
          <c:max val="36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94115136"/>
        <c:crosses val="autoZero"/>
        <c:crossBetween val="between"/>
        <c:majorUnit val="2"/>
        <c:minorUnit val="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0267979002624671"/>
          <c:y val="0.42671223388743074"/>
          <c:w val="0.29794444444444446"/>
          <c:h val="0.157992855059784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0070C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100" b="1">
                <a:solidFill>
                  <a:srgbClr val="0070C0"/>
                </a:solidFill>
              </a:rPr>
              <a:t>Tax revenue</a:t>
            </a:r>
          </a:p>
          <a:p>
            <a:pPr>
              <a:defRPr sz="1100" b="1">
                <a:solidFill>
                  <a:srgbClr val="0070C0"/>
                </a:solidFill>
              </a:defRPr>
            </a:pPr>
            <a:r>
              <a:rPr lang="en-US" sz="1100" b="1">
                <a:solidFill>
                  <a:srgbClr val="0070C0"/>
                </a:solidFill>
              </a:rPr>
              <a:t>(in percent of GDP)</a:t>
            </a:r>
          </a:p>
        </c:rich>
      </c:tx>
      <c:layout>
        <c:manualLayout>
          <c:xMode val="edge"/>
          <c:yMode val="edge"/>
          <c:x val="3.2388888888888891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0070C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6988407699037618E-2"/>
          <c:y val="0.23334499854184892"/>
          <c:w val="0.89745603674540686"/>
          <c:h val="0.55239027413240016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'fiscal panel'!$C$82</c:f>
              <c:strCache>
                <c:ptCount val="1"/>
                <c:pt idx="0">
                  <c:v>Direct taxes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'fiscal panel'!$D$80:$N$80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'fiscal panel'!$D$82:$N$82</c:f>
              <c:numCache>
                <c:formatCode>0.0</c:formatCode>
                <c:ptCount val="11"/>
                <c:pt idx="0">
                  <c:v>8.9701069820348351</c:v>
                </c:pt>
                <c:pt idx="1">
                  <c:v>8.440693828668417</c:v>
                </c:pt>
                <c:pt idx="2">
                  <c:v>8.650217783865898</c:v>
                </c:pt>
                <c:pt idx="3">
                  <c:v>7.7031517437212829</c:v>
                </c:pt>
                <c:pt idx="4">
                  <c:v>7.7041060724881412</c:v>
                </c:pt>
                <c:pt idx="5">
                  <c:v>7.7421513464418075</c:v>
                </c:pt>
                <c:pt idx="6">
                  <c:v>7.6079743969672045</c:v>
                </c:pt>
                <c:pt idx="7">
                  <c:v>6.7986905566511231</c:v>
                </c:pt>
                <c:pt idx="8">
                  <c:v>6.9897519679668481</c:v>
                </c:pt>
                <c:pt idx="9">
                  <c:v>7.5303874954459671</c:v>
                </c:pt>
                <c:pt idx="10">
                  <c:v>8.1781026242768196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7E-4723-8F6F-26112F40653C}"/>
            </c:ext>
          </c:extLst>
        </c:ser>
        <c:ser>
          <c:idx val="2"/>
          <c:order val="1"/>
          <c:tx>
            <c:strRef>
              <c:f>'fiscal panel'!$C$83</c:f>
              <c:strCache>
                <c:ptCount val="1"/>
                <c:pt idx="0">
                  <c:v>Indirect taxes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'fiscal panel'!$D$80:$N$80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'fiscal panel'!$D$83:$N$83</c:f>
              <c:numCache>
                <c:formatCode>0.0</c:formatCode>
                <c:ptCount val="11"/>
                <c:pt idx="0">
                  <c:v>14.948335109682823</c:v>
                </c:pt>
                <c:pt idx="1">
                  <c:v>14.671597281156059</c:v>
                </c:pt>
                <c:pt idx="2">
                  <c:v>15.307102041491209</c:v>
                </c:pt>
                <c:pt idx="3">
                  <c:v>15.878413548159454</c:v>
                </c:pt>
                <c:pt idx="4">
                  <c:v>15.938285680609017</c:v>
                </c:pt>
                <c:pt idx="5">
                  <c:v>16.768649200412334</c:v>
                </c:pt>
                <c:pt idx="6">
                  <c:v>18.135014130937556</c:v>
                </c:pt>
                <c:pt idx="7">
                  <c:v>18.974054192326182</c:v>
                </c:pt>
                <c:pt idx="8">
                  <c:v>19.45182947991875</c:v>
                </c:pt>
                <c:pt idx="9">
                  <c:v>19.785655947795778</c:v>
                </c:pt>
                <c:pt idx="10">
                  <c:v>17.546574802917348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7E-4723-8F6F-26112F406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94120544"/>
        <c:axId val="1994105984"/>
      </c:barChart>
      <c:catAx>
        <c:axId val="199412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94105984"/>
        <c:crosses val="autoZero"/>
        <c:auto val="1"/>
        <c:lblAlgn val="ctr"/>
        <c:lblOffset val="100"/>
        <c:noMultiLvlLbl val="0"/>
      </c:catAx>
      <c:valAx>
        <c:axId val="1994105984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9412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238582677165355"/>
          <c:y val="0.89409667541557303"/>
          <c:w val="0.48078390201224847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 b="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70C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rgbClr val="0070C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Central Government current spending</a:t>
            </a:r>
          </a:p>
          <a:p>
            <a:pPr>
              <a:defRPr b="1">
                <a:solidFill>
                  <a:srgbClr val="0070C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b="1">
                <a:solidFill>
                  <a:srgbClr val="0070C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(in percent of GDP)</a:t>
            </a:r>
          </a:p>
        </c:rich>
      </c:tx>
      <c:layout>
        <c:manualLayout>
          <c:xMode val="edge"/>
          <c:yMode val="edge"/>
          <c:x val="4.0659667541557296E-2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70C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5531496062992E-2"/>
          <c:y val="0.16708333333333336"/>
          <c:w val="0.86898337707786533"/>
          <c:h val="0.7394061679790026"/>
        </c:manualLayout>
      </c:layout>
      <c:barChart>
        <c:barDir val="col"/>
        <c:grouping val="stacked"/>
        <c:varyColors val="0"/>
        <c:ser>
          <c:idx val="3"/>
          <c:order val="0"/>
          <c:tx>
            <c:strRef>
              <c:f>'fiscal panel'!$C$106</c:f>
              <c:strCache>
                <c:ptCount val="1"/>
                <c:pt idx="0">
                  <c:v>non-interest current spending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'fiscal panel'!$D$104:$N$104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'fiscal panel'!$D$106:$N$106</c:f>
              <c:numCache>
                <c:formatCode>0.0</c:formatCode>
                <c:ptCount val="11"/>
                <c:pt idx="0">
                  <c:v>17.477843676693574</c:v>
                </c:pt>
                <c:pt idx="1">
                  <c:v>18.182966775853998</c:v>
                </c:pt>
                <c:pt idx="2">
                  <c:v>17.511639798892936</c:v>
                </c:pt>
                <c:pt idx="3">
                  <c:v>16.981667590971043</c:v>
                </c:pt>
                <c:pt idx="4">
                  <c:v>17.304489774322406</c:v>
                </c:pt>
                <c:pt idx="5">
                  <c:v>17.898436468468553</c:v>
                </c:pt>
                <c:pt idx="6">
                  <c:v>18.012236724507961</c:v>
                </c:pt>
                <c:pt idx="7">
                  <c:v>19.189371816520172</c:v>
                </c:pt>
                <c:pt idx="8">
                  <c:v>19.929344333433505</c:v>
                </c:pt>
                <c:pt idx="9">
                  <c:v>20.200687034346064</c:v>
                </c:pt>
                <c:pt idx="10">
                  <c:v>23.575850479608139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7E4-4B24-B558-3561E7CBEF03}"/>
            </c:ext>
          </c:extLst>
        </c:ser>
        <c:ser>
          <c:idx val="0"/>
          <c:order val="1"/>
          <c:tx>
            <c:strRef>
              <c:f>'fiscal panel'!$C$107</c:f>
              <c:strCache>
                <c:ptCount val="1"/>
                <c:pt idx="0">
                  <c:v>interest spending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'fiscal panel'!$D$104:$N$104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'fiscal panel'!$D$107:$N$107</c:f>
              <c:numCache>
                <c:formatCode>0.0</c:formatCode>
                <c:ptCount val="11"/>
                <c:pt idx="0">
                  <c:v>10.952894863718866</c:v>
                </c:pt>
                <c:pt idx="1">
                  <c:v>9.5734079931473701</c:v>
                </c:pt>
                <c:pt idx="2">
                  <c:v>9.4758973861307805</c:v>
                </c:pt>
                <c:pt idx="3">
                  <c:v>7.5165755241010945</c:v>
                </c:pt>
                <c:pt idx="4">
                  <c:v>7.9694402329830201</c:v>
                </c:pt>
                <c:pt idx="5">
                  <c:v>7.4413665906226001</c:v>
                </c:pt>
                <c:pt idx="6">
                  <c:v>7.7943180375419265</c:v>
                </c:pt>
                <c:pt idx="7">
                  <c:v>7.009722077695427</c:v>
                </c:pt>
                <c:pt idx="8">
                  <c:v>6.2917955619664925</c:v>
                </c:pt>
                <c:pt idx="9">
                  <c:v>6.1990540559302838</c:v>
                </c:pt>
                <c:pt idx="10">
                  <c:v>6.8898462939652738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7E4-4B24-B558-3561E7CBE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1855907424"/>
        <c:axId val="1855905760"/>
      </c:barChart>
      <c:catAx>
        <c:axId val="185590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905760"/>
        <c:crosses val="autoZero"/>
        <c:auto val="1"/>
        <c:lblAlgn val="ctr"/>
        <c:lblOffset val="100"/>
        <c:noMultiLvlLbl val="0"/>
      </c:catAx>
      <c:valAx>
        <c:axId val="1855905760"/>
        <c:scaling>
          <c:orientation val="minMax"/>
          <c:max val="45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907424"/>
        <c:crosses val="autoZero"/>
        <c:crossBetween val="between"/>
      </c:valAx>
      <c:spPr>
        <a:noFill/>
        <a:ln>
          <a:solidFill>
            <a:schemeClr val="accent1"/>
          </a:solidFill>
        </a:ln>
        <a:effectLst/>
      </c:spPr>
    </c:plotArea>
    <c:legend>
      <c:legendPos val="r"/>
      <c:layout>
        <c:manualLayout>
          <c:xMode val="edge"/>
          <c:yMode val="edge"/>
          <c:x val="0.4989809711286089"/>
          <c:y val="0.20506816856226304"/>
          <c:w val="0.44268569553805776"/>
          <c:h val="0.155094779819189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70C0"/>
                </a:solidFill>
              </a:rPr>
              <a:t>Central Government Capital spending</a:t>
            </a:r>
          </a:p>
          <a:p>
            <a:pPr>
              <a:defRPr b="1">
                <a:solidFill>
                  <a:srgbClr val="0070C0"/>
                </a:solidFill>
              </a:defRPr>
            </a:pPr>
            <a:r>
              <a:rPr lang="en-US" b="1">
                <a:solidFill>
                  <a:srgbClr val="0070C0"/>
                </a:solidFill>
              </a:rPr>
              <a:t>(in percent of GDP)</a:t>
            </a:r>
          </a:p>
        </c:rich>
      </c:tx>
      <c:layout>
        <c:manualLayout>
          <c:xMode val="edge"/>
          <c:yMode val="edge"/>
          <c:x val="4.0659667541557296E-2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70C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5531496062992E-2"/>
          <c:y val="0.16708333333333336"/>
          <c:w val="0.86898337707786533"/>
          <c:h val="0.739406167979002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'fiscal panel'!$C$130</c:f>
              <c:strCache>
                <c:ptCount val="1"/>
                <c:pt idx="0">
                  <c:v>Capital spending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'fiscal panel'!$D$104:$N$104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'fiscal panel'!$D$130:$N$130</c:f>
              <c:numCache>
                <c:formatCode>0.0</c:formatCode>
                <c:ptCount val="11"/>
                <c:pt idx="0">
                  <c:v>4.7440136737666601</c:v>
                </c:pt>
                <c:pt idx="1">
                  <c:v>4.2218935145895964</c:v>
                </c:pt>
                <c:pt idx="2">
                  <c:v>2.8186266642281006</c:v>
                </c:pt>
                <c:pt idx="3">
                  <c:v>2.5293979471553198</c:v>
                </c:pt>
                <c:pt idx="4">
                  <c:v>1.467402712313014</c:v>
                </c:pt>
                <c:pt idx="5">
                  <c:v>1.9389401474185182</c:v>
                </c:pt>
                <c:pt idx="6">
                  <c:v>2.3465926626512021</c:v>
                </c:pt>
                <c:pt idx="7">
                  <c:v>2.4270993653205459</c:v>
                </c:pt>
                <c:pt idx="8">
                  <c:v>3.2243225750407034</c:v>
                </c:pt>
                <c:pt idx="9">
                  <c:v>3.3187200375991184</c:v>
                </c:pt>
                <c:pt idx="10">
                  <c:v>2.6307963804712919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578-4B70-A41E-A849800A6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1855907424"/>
        <c:axId val="1855905760"/>
      </c:barChart>
      <c:catAx>
        <c:axId val="185590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905760"/>
        <c:crosses val="autoZero"/>
        <c:auto val="1"/>
        <c:lblAlgn val="ctr"/>
        <c:lblOffset val="100"/>
        <c:noMultiLvlLbl val="0"/>
      </c:catAx>
      <c:valAx>
        <c:axId val="1855905760"/>
        <c:scaling>
          <c:orientation val="minMax"/>
          <c:max val="5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907424"/>
        <c:crosses val="autoZero"/>
        <c:crossBetween val="between"/>
        <c:majorUnit val="1"/>
      </c:valAx>
      <c:spPr>
        <a:noFill/>
        <a:ln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rgbClr val="0070C0"/>
                </a:solidFill>
              </a:rPr>
              <a:t>Primary</a:t>
            </a:r>
            <a:r>
              <a:rPr lang="en-US" sz="1200" b="1" baseline="0">
                <a:solidFill>
                  <a:srgbClr val="0070C0"/>
                </a:solidFill>
              </a:rPr>
              <a:t> balance and Public debt</a:t>
            </a:r>
          </a:p>
          <a:p>
            <a:pPr>
              <a:defRPr sz="1200" b="1">
                <a:solidFill>
                  <a:srgbClr val="0070C0"/>
                </a:solidFill>
              </a:defRPr>
            </a:pPr>
            <a:r>
              <a:rPr lang="en-US" sz="1200" b="1" baseline="0">
                <a:solidFill>
                  <a:srgbClr val="0070C0"/>
                </a:solidFill>
              </a:rPr>
              <a:t>(in percent of GDP)</a:t>
            </a:r>
            <a:endParaRPr lang="en-US" sz="1200" b="1">
              <a:solidFill>
                <a:srgbClr val="0070C0"/>
              </a:solidFill>
            </a:endParaRPr>
          </a:p>
        </c:rich>
      </c:tx>
      <c:layout>
        <c:manualLayout>
          <c:xMode val="edge"/>
          <c:yMode val="edge"/>
          <c:x val="3.9263779527559071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70C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1"/>
          <c:tx>
            <c:strRef>
              <c:f>'fiscal panel'!$C$153</c:f>
              <c:strCache>
                <c:ptCount val="1"/>
                <c:pt idx="0">
                  <c:v>Debt (rhs)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'fiscal panel'!$D$151:$S$151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'fiscal panel'!$D$153:$S$153</c:f>
              <c:numCache>
                <c:formatCode>0.0</c:formatCode>
                <c:ptCount val="16"/>
                <c:pt idx="0">
                  <c:v>118.11458482659046</c:v>
                </c:pt>
                <c:pt idx="1">
                  <c:v>116.24716892840432</c:v>
                </c:pt>
                <c:pt idx="2">
                  <c:v>119.05511643531395</c:v>
                </c:pt>
                <c:pt idx="3">
                  <c:v>116.64570752639054</c:v>
                </c:pt>
                <c:pt idx="4">
                  <c:v>118.3430133824356</c:v>
                </c:pt>
                <c:pt idx="5">
                  <c:v>111.48756913921392</c:v>
                </c:pt>
                <c:pt idx="6">
                  <c:v>113.69488932117244</c:v>
                </c:pt>
                <c:pt idx="7">
                  <c:v>101.22488295179777</c:v>
                </c:pt>
                <c:pt idx="8">
                  <c:v>94.386131849517213</c:v>
                </c:pt>
                <c:pt idx="9">
                  <c:v>94.259651511701321</c:v>
                </c:pt>
                <c:pt idx="10">
                  <c:v>106.13114251431257</c:v>
                </c:pt>
                <c:pt idx="11">
                  <c:v>96.891301297178671</c:v>
                </c:pt>
                <c:pt idx="12">
                  <c:v>85.279493800340106</c:v>
                </c:pt>
                <c:pt idx="13">
                  <c:v>75.650817568219196</c:v>
                </c:pt>
                <c:pt idx="14">
                  <c:v>69.301137429984109</c:v>
                </c:pt>
                <c:pt idx="15">
                  <c:v>64.363460409217339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B8-4D91-A731-2F3A956B4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100"/>
        <c:axId val="1855927808"/>
        <c:axId val="1855935712"/>
      </c:barChart>
      <c:lineChart>
        <c:grouping val="stacked"/>
        <c:varyColors val="0"/>
        <c:ser>
          <c:idx val="0"/>
          <c:order val="0"/>
          <c:tx>
            <c:strRef>
              <c:f>'fiscal panel'!$C$152</c:f>
              <c:strCache>
                <c:ptCount val="1"/>
                <c:pt idx="0">
                  <c:v>Primary balance (lhs)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'fiscal panel'!$D$151:$S$151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'fiscal panel'!$D$152:$S$152</c:f>
              <c:numCache>
                <c:formatCode>0.0</c:formatCode>
                <c:ptCount val="16"/>
                <c:pt idx="0">
                  <c:v>5.7168144031844124</c:v>
                </c:pt>
                <c:pt idx="1">
                  <c:v>4.3123247465943715</c:v>
                </c:pt>
                <c:pt idx="2">
                  <c:v>6.0368662022492252</c:v>
                </c:pt>
                <c:pt idx="3">
                  <c:v>7.6355556108220366</c:v>
                </c:pt>
                <c:pt idx="4">
                  <c:v>7.4738310440010505</c:v>
                </c:pt>
                <c:pt idx="5">
                  <c:v>7.1521940775625836</c:v>
                </c:pt>
                <c:pt idx="6">
                  <c:v>7.5998935641278367</c:v>
                </c:pt>
                <c:pt idx="7">
                  <c:v>7.462065761649467</c:v>
                </c:pt>
                <c:pt idx="8">
                  <c:v>7.472891804914374</c:v>
                </c:pt>
                <c:pt idx="9">
                  <c:v>7.1139043016880175</c:v>
                </c:pt>
                <c:pt idx="10">
                  <c:v>2.9445635125454546</c:v>
                </c:pt>
                <c:pt idx="11">
                  <c:v>6.0000000000000009</c:v>
                </c:pt>
                <c:pt idx="12">
                  <c:v>6.5</c:v>
                </c:pt>
                <c:pt idx="13">
                  <c:v>6.5</c:v>
                </c:pt>
                <c:pt idx="14">
                  <c:v>6.5</c:v>
                </c:pt>
                <c:pt idx="15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B8-4D91-A731-2F3A956B4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4218304"/>
        <c:axId val="1994207904"/>
      </c:lineChart>
      <c:catAx>
        <c:axId val="199421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207904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1994207904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218304"/>
        <c:crosses val="autoZero"/>
        <c:crossBetween val="between"/>
      </c:valAx>
      <c:valAx>
        <c:axId val="1855935712"/>
        <c:scaling>
          <c:orientation val="minMax"/>
        </c:scaling>
        <c:delete val="0"/>
        <c:axPos val="r"/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927808"/>
        <c:crosses val="max"/>
        <c:crossBetween val="between"/>
      </c:valAx>
      <c:catAx>
        <c:axId val="18559278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559357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8640485564304464"/>
          <c:y val="0.19502260134149893"/>
          <c:w val="0.41052340332458448"/>
          <c:h val="0.142940361621463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</xdr:colOff>
      <xdr:row>1</xdr:row>
      <xdr:rowOff>57150</xdr:rowOff>
    </xdr:from>
    <xdr:to>
      <xdr:col>14</xdr:col>
      <xdr:colOff>594360</xdr:colOff>
      <xdr:row>21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024AC2-16E8-4846-AC39-9702ED0D8F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21</xdr:row>
      <xdr:rowOff>163830</xdr:rowOff>
    </xdr:from>
    <xdr:to>
      <xdr:col>13</xdr:col>
      <xdr:colOff>312420</xdr:colOff>
      <xdr:row>38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22F286-40A0-468A-B3A8-8021B627BA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638175</xdr:colOff>
      <xdr:row>153</xdr:row>
      <xdr:rowOff>19050</xdr:rowOff>
    </xdr:from>
    <xdr:to>
      <xdr:col>8</xdr:col>
      <xdr:colOff>1219200</xdr:colOff>
      <xdr:row>169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239C00-12CB-4FDE-9A96-5F6A9A8E5F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3970020" y="1676400"/>
    <xdr:ext cx="7732123" cy="57988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2A7F68-563F-4E53-BB83-D8CF366816A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0.0901</cdr:x>
      <cdr:y>0</cdr:y>
    </cdr:from>
    <cdr:to>
      <cdr:x>0.99057</cdr:x>
      <cdr:y>0.09011</cdr:y>
    </cdr:to>
    <cdr:sp macro="" textlink="">
      <cdr:nvSpPr>
        <cdr:cNvPr id="2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6686" y="0"/>
          <a:ext cx="6962523" cy="522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54864" tIns="41148" rIns="0" bIns="0" anchor="t" upright="1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 rtl="0">
            <a:defRPr sz="1000"/>
          </a:pPr>
          <a:r>
            <a:rPr lang="en-US" sz="2400" b="1" i="0" u="none" strike="noStrike" baseline="0">
              <a:solidFill>
                <a:schemeClr val="tx2">
                  <a:lumMod val="75000"/>
                </a:schemeClr>
              </a:solidFill>
              <a:latin typeface="Segoe UI"/>
              <a:cs typeface="Arial"/>
            </a:rPr>
            <a:t>Jamaica: Fiscal developments 2020-26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</xdr:colOff>
      <xdr:row>332</xdr:row>
      <xdr:rowOff>34290</xdr:rowOff>
    </xdr:from>
    <xdr:to>
      <xdr:col>18</xdr:col>
      <xdr:colOff>83820</xdr:colOff>
      <xdr:row>349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4DFB84-2940-4FDA-AA27-00B2904DED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353</xdr:row>
      <xdr:rowOff>0</xdr:rowOff>
    </xdr:from>
    <xdr:to>
      <xdr:col>18</xdr:col>
      <xdr:colOff>45720</xdr:colOff>
      <xdr:row>369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7A6CC6-D94C-4988-8A69-1E60EDD57B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16</xdr:col>
      <xdr:colOff>198120</xdr:colOff>
      <xdr:row>32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F3C596-3DE5-4B4C-A351-AB407F94AE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480060</xdr:colOff>
      <xdr:row>92</xdr:row>
      <xdr:rowOff>118110</xdr:rowOff>
    </xdr:from>
    <xdr:to>
      <xdr:col>11</xdr:col>
      <xdr:colOff>335280</xdr:colOff>
      <xdr:row>109</xdr:row>
      <xdr:rowOff>11430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F91DA9-C73B-4EA5-9B50-724243830E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297180</xdr:colOff>
      <xdr:row>33</xdr:row>
      <xdr:rowOff>133350</xdr:rowOff>
    </xdr:from>
    <xdr:to>
      <xdr:col>10</xdr:col>
      <xdr:colOff>601980</xdr:colOff>
      <xdr:row>50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E0A253-7E1F-4B8A-8A95-5D7ECE5FCC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586740</xdr:colOff>
      <xdr:row>58</xdr:row>
      <xdr:rowOff>163830</xdr:rowOff>
    </xdr:from>
    <xdr:to>
      <xdr:col>11</xdr:col>
      <xdr:colOff>281940</xdr:colOff>
      <xdr:row>75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72D6E43-3F07-4987-94F9-AB5913147F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121920</xdr:colOff>
      <xdr:row>83</xdr:row>
      <xdr:rowOff>163830</xdr:rowOff>
    </xdr:from>
    <xdr:to>
      <xdr:col>11</xdr:col>
      <xdr:colOff>426720</xdr:colOff>
      <xdr:row>100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3571D33-F443-4FA7-970E-F44C259B76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38100</xdr:colOff>
      <xdr:row>108</xdr:row>
      <xdr:rowOff>140970</xdr:rowOff>
    </xdr:from>
    <xdr:to>
      <xdr:col>11</xdr:col>
      <xdr:colOff>342900</xdr:colOff>
      <xdr:row>125</xdr:row>
      <xdr:rowOff>34290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B86E7B3-378B-4AC7-97C4-2EA4460EF4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571500</xdr:colOff>
      <xdr:row>131</xdr:row>
      <xdr:rowOff>148590</xdr:rowOff>
    </xdr:from>
    <xdr:to>
      <xdr:col>12</xdr:col>
      <xdr:colOff>266700</xdr:colOff>
      <xdr:row>148</xdr:row>
      <xdr:rowOff>41910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C31C259-1B5F-40A6-96B7-D722A30E64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373380</xdr:colOff>
      <xdr:row>155</xdr:row>
      <xdr:rowOff>95250</xdr:rowOff>
    </xdr:from>
    <xdr:to>
      <xdr:col>13</xdr:col>
      <xdr:colOff>68580</xdr:colOff>
      <xdr:row>171</xdr:row>
      <xdr:rowOff>156210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EB00DF2-649A-4B8D-A3D8-8E4579F1B7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atabases\Macroframework\Current\WEO%20AUGUST%202021\JAM%20Re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Me"/>
      <sheetName val="EcData_M"/>
      <sheetName val="EcOS M"/>
      <sheetName val="EcOS Q"/>
      <sheetName val="EcOS A"/>
      <sheetName val="ln_Macro"/>
      <sheetName val="ln_M"/>
      <sheetName val="ln_Q"/>
      <sheetName val="ln_A"/>
      <sheetName val="In_Haver_A"/>
      <sheetName val="Work-M"/>
      <sheetName val="Work-Q"/>
      <sheetName val="Work-Q_exp"/>
      <sheetName val="Work-CY"/>
      <sheetName val="Work-FY"/>
      <sheetName val="Expend_Side_FY"/>
      <sheetName val="Expend.An"/>
      <sheetName val="Remitt. CY"/>
      <sheetName val="Remitt. FY"/>
      <sheetName val="CTG-FY"/>
      <sheetName val="CTG-CY"/>
      <sheetName val="Out_Macro"/>
      <sheetName val="Out_Macro_M"/>
      <sheetName val="Out_Macro_Q"/>
      <sheetName val="WEO(Q1-Q2-Q3)"/>
      <sheetName val="Out_C2 Database"/>
      <sheetName val="Pot.Out."/>
      <sheetName val="Pot.Out.Gr"/>
      <sheetName val="Pot.Out.Pre.Covid"/>
      <sheetName val="Chart1"/>
    </sheetNames>
    <sheetDataSet>
      <sheetData sheetId="0"/>
      <sheetData sheetId="1"/>
      <sheetData sheetId="2"/>
      <sheetData sheetId="3"/>
      <sheetData sheetId="4"/>
      <sheetData sheetId="5"/>
      <sheetData sheetId="6">
        <row r="64">
          <cell r="MI64">
            <v>125.348</v>
          </cell>
          <cell r="MJ64">
            <v>126.383636363636</v>
          </cell>
          <cell r="MK64">
            <v>130.72</v>
          </cell>
          <cell r="ML64">
            <v>132.245</v>
          </cell>
          <cell r="MM64">
            <v>136.47597735446101</v>
          </cell>
          <cell r="MN64">
            <v>136.491312943559</v>
          </cell>
          <cell r="MO64">
            <v>131.83324339328601</v>
          </cell>
          <cell r="MP64">
            <v>127.153355166667</v>
          </cell>
          <cell r="MQ64">
            <v>128.51410366813701</v>
          </cell>
          <cell r="MR64">
            <v>131.68076674365</v>
          </cell>
          <cell r="MS64">
            <v>133.83211035261601</v>
          </cell>
          <cell r="MT64">
            <v>126.026653342521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77632-88AA-4A8D-9AF9-B98337BB9D00}">
  <dimension ref="C4:D16"/>
  <sheetViews>
    <sheetView topLeftCell="C4" workbookViewId="0">
      <selection activeCell="C19" sqref="C19"/>
    </sheetView>
  </sheetViews>
  <sheetFormatPr defaultRowHeight="12.75" x14ac:dyDescent="0.2"/>
  <cols>
    <col min="3" max="3" width="48" customWidth="1"/>
    <col min="4" max="4" width="10.7109375" customWidth="1"/>
  </cols>
  <sheetData>
    <row r="4" spans="3:4" x14ac:dyDescent="0.2">
      <c r="C4" s="1" t="s">
        <v>4</v>
      </c>
      <c r="D4" s="2">
        <v>12.857106319854728</v>
      </c>
    </row>
    <row r="5" spans="3:4" x14ac:dyDescent="0.2">
      <c r="C5" s="1" t="s">
        <v>3</v>
      </c>
      <c r="D5" s="2">
        <v>7.6211894052973461</v>
      </c>
    </row>
    <row r="6" spans="3:4" x14ac:dyDescent="0.2">
      <c r="C6" s="1" t="s">
        <v>10</v>
      </c>
      <c r="D6" s="2">
        <v>6.6581002941872747</v>
      </c>
    </row>
    <row r="7" spans="3:4" x14ac:dyDescent="0.2">
      <c r="C7" s="1" t="s">
        <v>0</v>
      </c>
      <c r="D7" s="2">
        <v>4.5841300191204581</v>
      </c>
    </row>
    <row r="8" spans="3:4" x14ac:dyDescent="0.2">
      <c r="C8" s="1" t="s">
        <v>9</v>
      </c>
      <c r="D8" s="2">
        <v>1.0409970346100472</v>
      </c>
    </row>
    <row r="9" spans="3:4" x14ac:dyDescent="0.2">
      <c r="C9" s="1" t="s">
        <v>1</v>
      </c>
      <c r="D9" s="2">
        <v>0.26788528206744822</v>
      </c>
    </row>
    <row r="10" spans="3:4" x14ac:dyDescent="0.2">
      <c r="C10" s="1" t="s">
        <v>8</v>
      </c>
      <c r="D10" s="2">
        <v>-0.11081241919927987</v>
      </c>
    </row>
    <row r="11" spans="3:4" x14ac:dyDescent="0.2">
      <c r="C11" s="1" t="s">
        <v>2</v>
      </c>
      <c r="D11" s="2">
        <v>-2.0877245809495126</v>
      </c>
    </row>
    <row r="12" spans="3:4" x14ac:dyDescent="0.2">
      <c r="C12" s="1" t="s">
        <v>5</v>
      </c>
      <c r="D12" s="2">
        <v>-4.2896220621894692</v>
      </c>
    </row>
    <row r="13" spans="3:4" x14ac:dyDescent="0.2">
      <c r="C13" s="1" t="s">
        <v>7</v>
      </c>
      <c r="D13" s="2">
        <v>-11.277058063096511</v>
      </c>
    </row>
    <row r="14" spans="3:4" x14ac:dyDescent="0.2">
      <c r="C14" s="1" t="s">
        <v>11</v>
      </c>
      <c r="D14" s="2">
        <v>-17.137152299641969</v>
      </c>
    </row>
    <row r="15" spans="3:4" x14ac:dyDescent="0.2">
      <c r="C15" s="1" t="s">
        <v>6</v>
      </c>
      <c r="D15" s="2">
        <v>-49.385649997471816</v>
      </c>
    </row>
    <row r="16" spans="3:4" x14ac:dyDescent="0.2">
      <c r="D16" s="2"/>
    </row>
  </sheetData>
  <autoFilter ref="C4:D15" xr:uid="{996276E1-A4D1-4015-A12A-6A3A4E8694E0}"/>
  <sortState xmlns:xlrd2="http://schemas.microsoft.com/office/spreadsheetml/2017/richdata2" ref="C4:D15">
    <sortCondition descending="1" ref="D4:D15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010D7-0C35-43BA-8FD0-B36E547F2323}">
  <dimension ref="B4:J50"/>
  <sheetViews>
    <sheetView topLeftCell="A13" workbookViewId="0">
      <selection activeCell="Q26" sqref="Q26"/>
    </sheetView>
  </sheetViews>
  <sheetFormatPr defaultRowHeight="12.75" x14ac:dyDescent="0.2"/>
  <sheetData>
    <row r="4" spans="2:10" x14ac:dyDescent="0.2">
      <c r="C4" t="s">
        <v>12</v>
      </c>
    </row>
    <row r="5" spans="2:10" ht="15" x14ac:dyDescent="0.25">
      <c r="B5" s="3" t="s">
        <v>13</v>
      </c>
      <c r="C5" s="4">
        <v>343</v>
      </c>
    </row>
    <row r="6" spans="2:10" x14ac:dyDescent="0.2">
      <c r="B6" t="s">
        <v>14</v>
      </c>
      <c r="C6" t="s">
        <v>15</v>
      </c>
    </row>
    <row r="7" spans="2:10" x14ac:dyDescent="0.2">
      <c r="C7" t="s">
        <v>16</v>
      </c>
    </row>
    <row r="8" spans="2:10" ht="15" x14ac:dyDescent="0.25">
      <c r="B8" s="5" t="s">
        <v>17</v>
      </c>
      <c r="C8" t="s">
        <v>18</v>
      </c>
    </row>
    <row r="9" spans="2:10" ht="15" x14ac:dyDescent="0.25">
      <c r="B9" s="5" t="s">
        <v>19</v>
      </c>
      <c r="C9" t="s">
        <v>20</v>
      </c>
    </row>
    <row r="10" spans="2:10" x14ac:dyDescent="0.2">
      <c r="B10" s="6"/>
    </row>
    <row r="11" spans="2:10" x14ac:dyDescent="0.2">
      <c r="B11" t="s">
        <v>21</v>
      </c>
      <c r="C11" s="7">
        <v>194609</v>
      </c>
    </row>
    <row r="12" spans="2:10" x14ac:dyDescent="0.2">
      <c r="B12" t="s">
        <v>22</v>
      </c>
      <c r="C12" s="7">
        <v>193575</v>
      </c>
    </row>
    <row r="13" spans="2:10" x14ac:dyDescent="0.2">
      <c r="B13" t="s">
        <v>23</v>
      </c>
      <c r="C13" s="7">
        <v>236818</v>
      </c>
    </row>
    <row r="14" spans="2:10" x14ac:dyDescent="0.2">
      <c r="B14" t="s">
        <v>24</v>
      </c>
      <c r="C14" s="7">
        <v>204734</v>
      </c>
      <c r="G14">
        <v>2018</v>
      </c>
      <c r="H14">
        <v>2019</v>
      </c>
      <c r="I14">
        <v>2020</v>
      </c>
      <c r="J14">
        <v>2021</v>
      </c>
    </row>
    <row r="15" spans="2:10" x14ac:dyDescent="0.2">
      <c r="B15" t="s">
        <v>25</v>
      </c>
      <c r="C15" s="7">
        <v>195491</v>
      </c>
      <c r="F15" t="s">
        <v>61</v>
      </c>
      <c r="G15">
        <f>SUM(C11:C13)</f>
        <v>625002</v>
      </c>
      <c r="H15">
        <f>SUM(C23:C25)</f>
        <v>708297</v>
      </c>
      <c r="I15">
        <f>SUM(C35:C37)</f>
        <v>574131</v>
      </c>
      <c r="J15">
        <f>SUM(C47:C49)</f>
        <v>161275</v>
      </c>
    </row>
    <row r="16" spans="2:10" x14ac:dyDescent="0.2">
      <c r="B16" t="s">
        <v>26</v>
      </c>
      <c r="C16" s="7">
        <v>229261</v>
      </c>
      <c r="F16" t="s">
        <v>62</v>
      </c>
      <c r="G16">
        <f>SUM(C14:C16)</f>
        <v>629486</v>
      </c>
      <c r="H16">
        <f>SUM(C26:C28)</f>
        <v>682386</v>
      </c>
      <c r="I16">
        <f>SUM(C38:C40)</f>
        <v>7188</v>
      </c>
      <c r="J16">
        <v>243000</v>
      </c>
    </row>
    <row r="17" spans="2:9" x14ac:dyDescent="0.2">
      <c r="B17" t="s">
        <v>27</v>
      </c>
      <c r="C17" s="7">
        <v>257050</v>
      </c>
      <c r="F17" t="s">
        <v>63</v>
      </c>
      <c r="G17">
        <f>SUM(C17:C19)</f>
        <v>597994</v>
      </c>
      <c r="H17">
        <f>SUM(C29:C31)</f>
        <v>629825</v>
      </c>
      <c r="I17">
        <f>SUM(C41:C43)</f>
        <v>114402</v>
      </c>
    </row>
    <row r="18" spans="2:9" x14ac:dyDescent="0.2">
      <c r="B18" t="s">
        <v>28</v>
      </c>
      <c r="C18" s="7">
        <v>206034</v>
      </c>
      <c r="F18" t="s">
        <v>64</v>
      </c>
      <c r="G18">
        <f>SUM(C20:C22)</f>
        <v>620245</v>
      </c>
      <c r="H18">
        <f>SUM(C32:C34)</f>
        <v>660412</v>
      </c>
      <c r="I18">
        <f>SUM(C44:C46)</f>
        <v>184683</v>
      </c>
    </row>
    <row r="19" spans="2:9" x14ac:dyDescent="0.2">
      <c r="B19" t="s">
        <v>29</v>
      </c>
      <c r="C19" s="7">
        <v>134910</v>
      </c>
    </row>
    <row r="20" spans="2:9" x14ac:dyDescent="0.2">
      <c r="B20" t="s">
        <v>30</v>
      </c>
      <c r="C20" s="7">
        <v>162552</v>
      </c>
    </row>
    <row r="21" spans="2:9" x14ac:dyDescent="0.2">
      <c r="B21" t="s">
        <v>31</v>
      </c>
      <c r="C21" s="7">
        <v>196546</v>
      </c>
    </row>
    <row r="22" spans="2:9" x14ac:dyDescent="0.2">
      <c r="B22" t="s">
        <v>32</v>
      </c>
      <c r="C22" s="7">
        <v>261147</v>
      </c>
    </row>
    <row r="23" spans="2:9" x14ac:dyDescent="0.2">
      <c r="B23" t="s">
        <v>33</v>
      </c>
      <c r="C23" s="7">
        <v>216509</v>
      </c>
    </row>
    <row r="24" spans="2:9" x14ac:dyDescent="0.2">
      <c r="B24" t="s">
        <v>34</v>
      </c>
      <c r="C24" s="7">
        <v>220046</v>
      </c>
    </row>
    <row r="25" spans="2:9" x14ac:dyDescent="0.2">
      <c r="B25" t="s">
        <v>35</v>
      </c>
      <c r="C25" s="7">
        <v>271742</v>
      </c>
    </row>
    <row r="26" spans="2:9" x14ac:dyDescent="0.2">
      <c r="B26" t="s">
        <v>36</v>
      </c>
      <c r="C26" s="7">
        <v>232834</v>
      </c>
    </row>
    <row r="27" spans="2:9" x14ac:dyDescent="0.2">
      <c r="B27" t="s">
        <v>37</v>
      </c>
      <c r="C27" s="7">
        <v>210664</v>
      </c>
    </row>
    <row r="28" spans="2:9" x14ac:dyDescent="0.2">
      <c r="B28" t="s">
        <v>38</v>
      </c>
      <c r="C28" s="7">
        <v>238888</v>
      </c>
    </row>
    <row r="29" spans="2:9" x14ac:dyDescent="0.2">
      <c r="B29" t="s">
        <v>39</v>
      </c>
      <c r="C29" s="7">
        <v>270462</v>
      </c>
    </row>
    <row r="30" spans="2:9" x14ac:dyDescent="0.2">
      <c r="B30" t="s">
        <v>40</v>
      </c>
      <c r="C30" s="7">
        <v>214780</v>
      </c>
    </row>
    <row r="31" spans="2:9" x14ac:dyDescent="0.2">
      <c r="B31" t="s">
        <v>41</v>
      </c>
      <c r="C31" s="7">
        <v>144583</v>
      </c>
    </row>
    <row r="32" spans="2:9" x14ac:dyDescent="0.2">
      <c r="B32" t="s">
        <v>42</v>
      </c>
      <c r="C32" s="7">
        <v>176514</v>
      </c>
    </row>
    <row r="33" spans="2:3" x14ac:dyDescent="0.2">
      <c r="B33" t="s">
        <v>43</v>
      </c>
      <c r="C33" s="7">
        <v>202783</v>
      </c>
    </row>
    <row r="34" spans="2:3" x14ac:dyDescent="0.2">
      <c r="B34" t="s">
        <v>44</v>
      </c>
      <c r="C34" s="7">
        <v>281115</v>
      </c>
    </row>
    <row r="35" spans="2:3" x14ac:dyDescent="0.2">
      <c r="B35" t="s">
        <v>45</v>
      </c>
      <c r="C35" s="7">
        <v>227200</v>
      </c>
    </row>
    <row r="36" spans="2:3" x14ac:dyDescent="0.2">
      <c r="B36" t="s">
        <v>46</v>
      </c>
      <c r="C36" s="7">
        <v>235740</v>
      </c>
    </row>
    <row r="37" spans="2:3" x14ac:dyDescent="0.2">
      <c r="B37" t="s">
        <v>47</v>
      </c>
      <c r="C37" s="7">
        <v>111191</v>
      </c>
    </row>
    <row r="38" spans="2:3" x14ac:dyDescent="0.2">
      <c r="B38" t="s">
        <v>48</v>
      </c>
      <c r="C38" s="7">
        <v>0</v>
      </c>
    </row>
    <row r="39" spans="2:3" x14ac:dyDescent="0.2">
      <c r="B39" t="s">
        <v>49</v>
      </c>
      <c r="C39" s="7">
        <v>0</v>
      </c>
    </row>
    <row r="40" spans="2:3" x14ac:dyDescent="0.2">
      <c r="B40" t="s">
        <v>50</v>
      </c>
      <c r="C40" s="7">
        <v>7188</v>
      </c>
    </row>
    <row r="41" spans="2:3" x14ac:dyDescent="0.2">
      <c r="B41" t="s">
        <v>51</v>
      </c>
      <c r="C41" s="7">
        <v>41941</v>
      </c>
    </row>
    <row r="42" spans="2:3" x14ac:dyDescent="0.2">
      <c r="B42" t="s">
        <v>52</v>
      </c>
      <c r="C42" s="7">
        <v>43813</v>
      </c>
    </row>
    <row r="43" spans="2:3" x14ac:dyDescent="0.2">
      <c r="B43" t="s">
        <v>53</v>
      </c>
      <c r="C43" s="7">
        <v>28648</v>
      </c>
    </row>
    <row r="44" spans="2:3" x14ac:dyDescent="0.2">
      <c r="B44" t="s">
        <v>54</v>
      </c>
      <c r="C44" s="7">
        <v>45106</v>
      </c>
    </row>
    <row r="45" spans="2:3" x14ac:dyDescent="0.2">
      <c r="B45" t="s">
        <v>55</v>
      </c>
      <c r="C45" s="7">
        <v>49413</v>
      </c>
    </row>
    <row r="46" spans="2:3" x14ac:dyDescent="0.2">
      <c r="B46" t="s">
        <v>56</v>
      </c>
      <c r="C46" s="7">
        <v>90164</v>
      </c>
    </row>
    <row r="47" spans="2:3" x14ac:dyDescent="0.2">
      <c r="B47" t="s">
        <v>57</v>
      </c>
      <c r="C47" s="7">
        <v>43831</v>
      </c>
    </row>
    <row r="48" spans="2:3" x14ac:dyDescent="0.2">
      <c r="B48" t="s">
        <v>58</v>
      </c>
      <c r="C48" s="7">
        <v>43798</v>
      </c>
    </row>
    <row r="49" spans="2:3" x14ac:dyDescent="0.2">
      <c r="B49" t="s">
        <v>59</v>
      </c>
      <c r="C49" s="7">
        <v>73646</v>
      </c>
    </row>
    <row r="50" spans="2:3" x14ac:dyDescent="0.2">
      <c r="B50" t="s">
        <v>60</v>
      </c>
      <c r="C50" s="7">
        <v>82702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96A80-F1D8-4D78-BBE2-20824C28419D}">
  <dimension ref="A1:N174"/>
  <sheetViews>
    <sheetView topLeftCell="A145" zoomScale="80" zoomScaleNormal="80" workbookViewId="0">
      <selection activeCell="F177" sqref="F177"/>
    </sheetView>
  </sheetViews>
  <sheetFormatPr defaultColWidth="9" defaultRowHeight="12.75" x14ac:dyDescent="0.2"/>
  <cols>
    <col min="1" max="1" width="12.7109375" style="9" customWidth="1"/>
    <col min="2" max="2" width="16.28515625" style="9" customWidth="1"/>
    <col min="3" max="3" width="22.7109375" style="9" bestFit="1" customWidth="1"/>
    <col min="4" max="4" width="20.7109375" style="9" bestFit="1" customWidth="1"/>
    <col min="5" max="5" width="14.5703125" style="9" bestFit="1" customWidth="1"/>
    <col min="6" max="6" width="16.5703125" style="9" bestFit="1" customWidth="1"/>
    <col min="7" max="7" width="22.7109375" style="9" bestFit="1" customWidth="1"/>
    <col min="8" max="8" width="19" style="9" bestFit="1" customWidth="1"/>
    <col min="9" max="9" width="23.85546875" style="9" customWidth="1"/>
    <col min="10" max="10" width="24.5703125" style="9" bestFit="1" customWidth="1"/>
    <col min="11" max="11" width="24.5703125" style="9" customWidth="1"/>
    <col min="12" max="12" width="16.5703125" style="9" bestFit="1" customWidth="1"/>
    <col min="13" max="256" width="9" style="9"/>
    <col min="257" max="257" width="12.7109375" style="9" customWidth="1"/>
    <col min="258" max="258" width="16.28515625" style="9" customWidth="1"/>
    <col min="259" max="259" width="22.7109375" style="9" bestFit="1" customWidth="1"/>
    <col min="260" max="260" width="20.7109375" style="9" bestFit="1" customWidth="1"/>
    <col min="261" max="261" width="14.5703125" style="9" bestFit="1" customWidth="1"/>
    <col min="262" max="262" width="16.5703125" style="9" bestFit="1" customWidth="1"/>
    <col min="263" max="263" width="22.7109375" style="9" bestFit="1" customWidth="1"/>
    <col min="264" max="264" width="19" style="9" bestFit="1" customWidth="1"/>
    <col min="265" max="265" width="23.85546875" style="9" customWidth="1"/>
    <col min="266" max="266" width="24.5703125" style="9" bestFit="1" customWidth="1"/>
    <col min="267" max="267" width="24.5703125" style="9" customWidth="1"/>
    <col min="268" max="268" width="16.5703125" style="9" bestFit="1" customWidth="1"/>
    <col min="269" max="512" width="9" style="9"/>
    <col min="513" max="513" width="12.7109375" style="9" customWidth="1"/>
    <col min="514" max="514" width="16.28515625" style="9" customWidth="1"/>
    <col min="515" max="515" width="22.7109375" style="9" bestFit="1" customWidth="1"/>
    <col min="516" max="516" width="20.7109375" style="9" bestFit="1" customWidth="1"/>
    <col min="517" max="517" width="14.5703125" style="9" bestFit="1" customWidth="1"/>
    <col min="518" max="518" width="16.5703125" style="9" bestFit="1" customWidth="1"/>
    <col min="519" max="519" width="22.7109375" style="9" bestFit="1" customWidth="1"/>
    <col min="520" max="520" width="19" style="9" bestFit="1" customWidth="1"/>
    <col min="521" max="521" width="23.85546875" style="9" customWidth="1"/>
    <col min="522" max="522" width="24.5703125" style="9" bestFit="1" customWidth="1"/>
    <col min="523" max="523" width="24.5703125" style="9" customWidth="1"/>
    <col min="524" max="524" width="16.5703125" style="9" bestFit="1" customWidth="1"/>
    <col min="525" max="768" width="9" style="9"/>
    <col min="769" max="769" width="12.7109375" style="9" customWidth="1"/>
    <col min="770" max="770" width="16.28515625" style="9" customWidth="1"/>
    <col min="771" max="771" width="22.7109375" style="9" bestFit="1" customWidth="1"/>
    <col min="772" max="772" width="20.7109375" style="9" bestFit="1" customWidth="1"/>
    <col min="773" max="773" width="14.5703125" style="9" bestFit="1" customWidth="1"/>
    <col min="774" max="774" width="16.5703125" style="9" bestFit="1" customWidth="1"/>
    <col min="775" max="775" width="22.7109375" style="9" bestFit="1" customWidth="1"/>
    <col min="776" max="776" width="19" style="9" bestFit="1" customWidth="1"/>
    <col min="777" max="777" width="23.85546875" style="9" customWidth="1"/>
    <col min="778" max="778" width="24.5703125" style="9" bestFit="1" customWidth="1"/>
    <col min="779" max="779" width="24.5703125" style="9" customWidth="1"/>
    <col min="780" max="780" width="16.5703125" style="9" bestFit="1" customWidth="1"/>
    <col min="781" max="1024" width="9" style="9"/>
    <col min="1025" max="1025" width="12.7109375" style="9" customWidth="1"/>
    <col min="1026" max="1026" width="16.28515625" style="9" customWidth="1"/>
    <col min="1027" max="1027" width="22.7109375" style="9" bestFit="1" customWidth="1"/>
    <col min="1028" max="1028" width="20.7109375" style="9" bestFit="1" customWidth="1"/>
    <col min="1029" max="1029" width="14.5703125" style="9" bestFit="1" customWidth="1"/>
    <col min="1030" max="1030" width="16.5703125" style="9" bestFit="1" customWidth="1"/>
    <col min="1031" max="1031" width="22.7109375" style="9" bestFit="1" customWidth="1"/>
    <col min="1032" max="1032" width="19" style="9" bestFit="1" customWidth="1"/>
    <col min="1033" max="1033" width="23.85546875" style="9" customWidth="1"/>
    <col min="1034" max="1034" width="24.5703125" style="9" bestFit="1" customWidth="1"/>
    <col min="1035" max="1035" width="24.5703125" style="9" customWidth="1"/>
    <col min="1036" max="1036" width="16.5703125" style="9" bestFit="1" customWidth="1"/>
    <col min="1037" max="1280" width="9" style="9"/>
    <col min="1281" max="1281" width="12.7109375" style="9" customWidth="1"/>
    <col min="1282" max="1282" width="16.28515625" style="9" customWidth="1"/>
    <col min="1283" max="1283" width="22.7109375" style="9" bestFit="1" customWidth="1"/>
    <col min="1284" max="1284" width="20.7109375" style="9" bestFit="1" customWidth="1"/>
    <col min="1285" max="1285" width="14.5703125" style="9" bestFit="1" customWidth="1"/>
    <col min="1286" max="1286" width="16.5703125" style="9" bestFit="1" customWidth="1"/>
    <col min="1287" max="1287" width="22.7109375" style="9" bestFit="1" customWidth="1"/>
    <col min="1288" max="1288" width="19" style="9" bestFit="1" customWidth="1"/>
    <col min="1289" max="1289" width="23.85546875" style="9" customWidth="1"/>
    <col min="1290" max="1290" width="24.5703125" style="9" bestFit="1" customWidth="1"/>
    <col min="1291" max="1291" width="24.5703125" style="9" customWidth="1"/>
    <col min="1292" max="1292" width="16.5703125" style="9" bestFit="1" customWidth="1"/>
    <col min="1293" max="1536" width="9" style="9"/>
    <col min="1537" max="1537" width="12.7109375" style="9" customWidth="1"/>
    <col min="1538" max="1538" width="16.28515625" style="9" customWidth="1"/>
    <col min="1539" max="1539" width="22.7109375" style="9" bestFit="1" customWidth="1"/>
    <col min="1540" max="1540" width="20.7109375" style="9" bestFit="1" customWidth="1"/>
    <col min="1541" max="1541" width="14.5703125" style="9" bestFit="1" customWidth="1"/>
    <col min="1542" max="1542" width="16.5703125" style="9" bestFit="1" customWidth="1"/>
    <col min="1543" max="1543" width="22.7109375" style="9" bestFit="1" customWidth="1"/>
    <col min="1544" max="1544" width="19" style="9" bestFit="1" customWidth="1"/>
    <col min="1545" max="1545" width="23.85546875" style="9" customWidth="1"/>
    <col min="1546" max="1546" width="24.5703125" style="9" bestFit="1" customWidth="1"/>
    <col min="1547" max="1547" width="24.5703125" style="9" customWidth="1"/>
    <col min="1548" max="1548" width="16.5703125" style="9" bestFit="1" customWidth="1"/>
    <col min="1549" max="1792" width="9" style="9"/>
    <col min="1793" max="1793" width="12.7109375" style="9" customWidth="1"/>
    <col min="1794" max="1794" width="16.28515625" style="9" customWidth="1"/>
    <col min="1795" max="1795" width="22.7109375" style="9" bestFit="1" customWidth="1"/>
    <col min="1796" max="1796" width="20.7109375" style="9" bestFit="1" customWidth="1"/>
    <col min="1797" max="1797" width="14.5703125" style="9" bestFit="1" customWidth="1"/>
    <col min="1798" max="1798" width="16.5703125" style="9" bestFit="1" customWidth="1"/>
    <col min="1799" max="1799" width="22.7109375" style="9" bestFit="1" customWidth="1"/>
    <col min="1800" max="1800" width="19" style="9" bestFit="1" customWidth="1"/>
    <col min="1801" max="1801" width="23.85546875" style="9" customWidth="1"/>
    <col min="1802" max="1802" width="24.5703125" style="9" bestFit="1" customWidth="1"/>
    <col min="1803" max="1803" width="24.5703125" style="9" customWidth="1"/>
    <col min="1804" max="1804" width="16.5703125" style="9" bestFit="1" customWidth="1"/>
    <col min="1805" max="2048" width="9" style="9"/>
    <col min="2049" max="2049" width="12.7109375" style="9" customWidth="1"/>
    <col min="2050" max="2050" width="16.28515625" style="9" customWidth="1"/>
    <col min="2051" max="2051" width="22.7109375" style="9" bestFit="1" customWidth="1"/>
    <col min="2052" max="2052" width="20.7109375" style="9" bestFit="1" customWidth="1"/>
    <col min="2053" max="2053" width="14.5703125" style="9" bestFit="1" customWidth="1"/>
    <col min="2054" max="2054" width="16.5703125" style="9" bestFit="1" customWidth="1"/>
    <col min="2055" max="2055" width="22.7109375" style="9" bestFit="1" customWidth="1"/>
    <col min="2056" max="2056" width="19" style="9" bestFit="1" customWidth="1"/>
    <col min="2057" max="2057" width="23.85546875" style="9" customWidth="1"/>
    <col min="2058" max="2058" width="24.5703125" style="9" bestFit="1" customWidth="1"/>
    <col min="2059" max="2059" width="24.5703125" style="9" customWidth="1"/>
    <col min="2060" max="2060" width="16.5703125" style="9" bestFit="1" customWidth="1"/>
    <col min="2061" max="2304" width="9" style="9"/>
    <col min="2305" max="2305" width="12.7109375" style="9" customWidth="1"/>
    <col min="2306" max="2306" width="16.28515625" style="9" customWidth="1"/>
    <col min="2307" max="2307" width="22.7109375" style="9" bestFit="1" customWidth="1"/>
    <col min="2308" max="2308" width="20.7109375" style="9" bestFit="1" customWidth="1"/>
    <col min="2309" max="2309" width="14.5703125" style="9" bestFit="1" customWidth="1"/>
    <col min="2310" max="2310" width="16.5703125" style="9" bestFit="1" customWidth="1"/>
    <col min="2311" max="2311" width="22.7109375" style="9" bestFit="1" customWidth="1"/>
    <col min="2312" max="2312" width="19" style="9" bestFit="1" customWidth="1"/>
    <col min="2313" max="2313" width="23.85546875" style="9" customWidth="1"/>
    <col min="2314" max="2314" width="24.5703125" style="9" bestFit="1" customWidth="1"/>
    <col min="2315" max="2315" width="24.5703125" style="9" customWidth="1"/>
    <col min="2316" max="2316" width="16.5703125" style="9" bestFit="1" customWidth="1"/>
    <col min="2317" max="2560" width="9" style="9"/>
    <col min="2561" max="2561" width="12.7109375" style="9" customWidth="1"/>
    <col min="2562" max="2562" width="16.28515625" style="9" customWidth="1"/>
    <col min="2563" max="2563" width="22.7109375" style="9" bestFit="1" customWidth="1"/>
    <col min="2564" max="2564" width="20.7109375" style="9" bestFit="1" customWidth="1"/>
    <col min="2565" max="2565" width="14.5703125" style="9" bestFit="1" customWidth="1"/>
    <col min="2566" max="2566" width="16.5703125" style="9" bestFit="1" customWidth="1"/>
    <col min="2567" max="2567" width="22.7109375" style="9" bestFit="1" customWidth="1"/>
    <col min="2568" max="2568" width="19" style="9" bestFit="1" customWidth="1"/>
    <col min="2569" max="2569" width="23.85546875" style="9" customWidth="1"/>
    <col min="2570" max="2570" width="24.5703125" style="9" bestFit="1" customWidth="1"/>
    <col min="2571" max="2571" width="24.5703125" style="9" customWidth="1"/>
    <col min="2572" max="2572" width="16.5703125" style="9" bestFit="1" customWidth="1"/>
    <col min="2573" max="2816" width="9" style="9"/>
    <col min="2817" max="2817" width="12.7109375" style="9" customWidth="1"/>
    <col min="2818" max="2818" width="16.28515625" style="9" customWidth="1"/>
    <col min="2819" max="2819" width="22.7109375" style="9" bestFit="1" customWidth="1"/>
    <col min="2820" max="2820" width="20.7109375" style="9" bestFit="1" customWidth="1"/>
    <col min="2821" max="2821" width="14.5703125" style="9" bestFit="1" customWidth="1"/>
    <col min="2822" max="2822" width="16.5703125" style="9" bestFit="1" customWidth="1"/>
    <col min="2823" max="2823" width="22.7109375" style="9" bestFit="1" customWidth="1"/>
    <col min="2824" max="2824" width="19" style="9" bestFit="1" customWidth="1"/>
    <col min="2825" max="2825" width="23.85546875" style="9" customWidth="1"/>
    <col min="2826" max="2826" width="24.5703125" style="9" bestFit="1" customWidth="1"/>
    <col min="2827" max="2827" width="24.5703125" style="9" customWidth="1"/>
    <col min="2828" max="2828" width="16.5703125" style="9" bestFit="1" customWidth="1"/>
    <col min="2829" max="3072" width="9" style="9"/>
    <col min="3073" max="3073" width="12.7109375" style="9" customWidth="1"/>
    <col min="3074" max="3074" width="16.28515625" style="9" customWidth="1"/>
    <col min="3075" max="3075" width="22.7109375" style="9" bestFit="1" customWidth="1"/>
    <col min="3076" max="3076" width="20.7109375" style="9" bestFit="1" customWidth="1"/>
    <col min="3077" max="3077" width="14.5703125" style="9" bestFit="1" customWidth="1"/>
    <col min="3078" max="3078" width="16.5703125" style="9" bestFit="1" customWidth="1"/>
    <col min="3079" max="3079" width="22.7109375" style="9" bestFit="1" customWidth="1"/>
    <col min="3080" max="3080" width="19" style="9" bestFit="1" customWidth="1"/>
    <col min="3081" max="3081" width="23.85546875" style="9" customWidth="1"/>
    <col min="3082" max="3082" width="24.5703125" style="9" bestFit="1" customWidth="1"/>
    <col min="3083" max="3083" width="24.5703125" style="9" customWidth="1"/>
    <col min="3084" max="3084" width="16.5703125" style="9" bestFit="1" customWidth="1"/>
    <col min="3085" max="3328" width="9" style="9"/>
    <col min="3329" max="3329" width="12.7109375" style="9" customWidth="1"/>
    <col min="3330" max="3330" width="16.28515625" style="9" customWidth="1"/>
    <col min="3331" max="3331" width="22.7109375" style="9" bestFit="1" customWidth="1"/>
    <col min="3332" max="3332" width="20.7109375" style="9" bestFit="1" customWidth="1"/>
    <col min="3333" max="3333" width="14.5703125" style="9" bestFit="1" customWidth="1"/>
    <col min="3334" max="3334" width="16.5703125" style="9" bestFit="1" customWidth="1"/>
    <col min="3335" max="3335" width="22.7109375" style="9" bestFit="1" customWidth="1"/>
    <col min="3336" max="3336" width="19" style="9" bestFit="1" customWidth="1"/>
    <col min="3337" max="3337" width="23.85546875" style="9" customWidth="1"/>
    <col min="3338" max="3338" width="24.5703125" style="9" bestFit="1" customWidth="1"/>
    <col min="3339" max="3339" width="24.5703125" style="9" customWidth="1"/>
    <col min="3340" max="3340" width="16.5703125" style="9" bestFit="1" customWidth="1"/>
    <col min="3341" max="3584" width="9" style="9"/>
    <col min="3585" max="3585" width="12.7109375" style="9" customWidth="1"/>
    <col min="3586" max="3586" width="16.28515625" style="9" customWidth="1"/>
    <col min="3587" max="3587" width="22.7109375" style="9" bestFit="1" customWidth="1"/>
    <col min="3588" max="3588" width="20.7109375" style="9" bestFit="1" customWidth="1"/>
    <col min="3589" max="3589" width="14.5703125" style="9" bestFit="1" customWidth="1"/>
    <col min="3590" max="3590" width="16.5703125" style="9" bestFit="1" customWidth="1"/>
    <col min="3591" max="3591" width="22.7109375" style="9" bestFit="1" customWidth="1"/>
    <col min="3592" max="3592" width="19" style="9" bestFit="1" customWidth="1"/>
    <col min="3593" max="3593" width="23.85546875" style="9" customWidth="1"/>
    <col min="3594" max="3594" width="24.5703125" style="9" bestFit="1" customWidth="1"/>
    <col min="3595" max="3595" width="24.5703125" style="9" customWidth="1"/>
    <col min="3596" max="3596" width="16.5703125" style="9" bestFit="1" customWidth="1"/>
    <col min="3597" max="3840" width="9" style="9"/>
    <col min="3841" max="3841" width="12.7109375" style="9" customWidth="1"/>
    <col min="3842" max="3842" width="16.28515625" style="9" customWidth="1"/>
    <col min="3843" max="3843" width="22.7109375" style="9" bestFit="1" customWidth="1"/>
    <col min="3844" max="3844" width="20.7109375" style="9" bestFit="1" customWidth="1"/>
    <col min="3845" max="3845" width="14.5703125" style="9" bestFit="1" customWidth="1"/>
    <col min="3846" max="3846" width="16.5703125" style="9" bestFit="1" customWidth="1"/>
    <col min="3847" max="3847" width="22.7109375" style="9" bestFit="1" customWidth="1"/>
    <col min="3848" max="3848" width="19" style="9" bestFit="1" customWidth="1"/>
    <col min="3849" max="3849" width="23.85546875" style="9" customWidth="1"/>
    <col min="3850" max="3850" width="24.5703125" style="9" bestFit="1" customWidth="1"/>
    <col min="3851" max="3851" width="24.5703125" style="9" customWidth="1"/>
    <col min="3852" max="3852" width="16.5703125" style="9" bestFit="1" customWidth="1"/>
    <col min="3853" max="4096" width="9" style="9"/>
    <col min="4097" max="4097" width="12.7109375" style="9" customWidth="1"/>
    <col min="4098" max="4098" width="16.28515625" style="9" customWidth="1"/>
    <col min="4099" max="4099" width="22.7109375" style="9" bestFit="1" customWidth="1"/>
    <col min="4100" max="4100" width="20.7109375" style="9" bestFit="1" customWidth="1"/>
    <col min="4101" max="4101" width="14.5703125" style="9" bestFit="1" customWidth="1"/>
    <col min="4102" max="4102" width="16.5703125" style="9" bestFit="1" customWidth="1"/>
    <col min="4103" max="4103" width="22.7109375" style="9" bestFit="1" customWidth="1"/>
    <col min="4104" max="4104" width="19" style="9" bestFit="1" customWidth="1"/>
    <col min="4105" max="4105" width="23.85546875" style="9" customWidth="1"/>
    <col min="4106" max="4106" width="24.5703125" style="9" bestFit="1" customWidth="1"/>
    <col min="4107" max="4107" width="24.5703125" style="9" customWidth="1"/>
    <col min="4108" max="4108" width="16.5703125" style="9" bestFit="1" customWidth="1"/>
    <col min="4109" max="4352" width="9" style="9"/>
    <col min="4353" max="4353" width="12.7109375" style="9" customWidth="1"/>
    <col min="4354" max="4354" width="16.28515625" style="9" customWidth="1"/>
    <col min="4355" max="4355" width="22.7109375" style="9" bestFit="1" customWidth="1"/>
    <col min="4356" max="4356" width="20.7109375" style="9" bestFit="1" customWidth="1"/>
    <col min="4357" max="4357" width="14.5703125" style="9" bestFit="1" customWidth="1"/>
    <col min="4358" max="4358" width="16.5703125" style="9" bestFit="1" customWidth="1"/>
    <col min="4359" max="4359" width="22.7109375" style="9" bestFit="1" customWidth="1"/>
    <col min="4360" max="4360" width="19" style="9" bestFit="1" customWidth="1"/>
    <col min="4361" max="4361" width="23.85546875" style="9" customWidth="1"/>
    <col min="4362" max="4362" width="24.5703125" style="9" bestFit="1" customWidth="1"/>
    <col min="4363" max="4363" width="24.5703125" style="9" customWidth="1"/>
    <col min="4364" max="4364" width="16.5703125" style="9" bestFit="1" customWidth="1"/>
    <col min="4365" max="4608" width="9" style="9"/>
    <col min="4609" max="4609" width="12.7109375" style="9" customWidth="1"/>
    <col min="4610" max="4610" width="16.28515625" style="9" customWidth="1"/>
    <col min="4611" max="4611" width="22.7109375" style="9" bestFit="1" customWidth="1"/>
    <col min="4612" max="4612" width="20.7109375" style="9" bestFit="1" customWidth="1"/>
    <col min="4613" max="4613" width="14.5703125" style="9" bestFit="1" customWidth="1"/>
    <col min="4614" max="4614" width="16.5703125" style="9" bestFit="1" customWidth="1"/>
    <col min="4615" max="4615" width="22.7109375" style="9" bestFit="1" customWidth="1"/>
    <col min="4616" max="4616" width="19" style="9" bestFit="1" customWidth="1"/>
    <col min="4617" max="4617" width="23.85546875" style="9" customWidth="1"/>
    <col min="4618" max="4618" width="24.5703125" style="9" bestFit="1" customWidth="1"/>
    <col min="4619" max="4619" width="24.5703125" style="9" customWidth="1"/>
    <col min="4620" max="4620" width="16.5703125" style="9" bestFit="1" customWidth="1"/>
    <col min="4621" max="4864" width="9" style="9"/>
    <col min="4865" max="4865" width="12.7109375" style="9" customWidth="1"/>
    <col min="4866" max="4866" width="16.28515625" style="9" customWidth="1"/>
    <col min="4867" max="4867" width="22.7109375" style="9" bestFit="1" customWidth="1"/>
    <col min="4868" max="4868" width="20.7109375" style="9" bestFit="1" customWidth="1"/>
    <col min="4869" max="4869" width="14.5703125" style="9" bestFit="1" customWidth="1"/>
    <col min="4870" max="4870" width="16.5703125" style="9" bestFit="1" customWidth="1"/>
    <col min="4871" max="4871" width="22.7109375" style="9" bestFit="1" customWidth="1"/>
    <col min="4872" max="4872" width="19" style="9" bestFit="1" customWidth="1"/>
    <col min="4873" max="4873" width="23.85546875" style="9" customWidth="1"/>
    <col min="4874" max="4874" width="24.5703125" style="9" bestFit="1" customWidth="1"/>
    <col min="4875" max="4875" width="24.5703125" style="9" customWidth="1"/>
    <col min="4876" max="4876" width="16.5703125" style="9" bestFit="1" customWidth="1"/>
    <col min="4877" max="5120" width="9" style="9"/>
    <col min="5121" max="5121" width="12.7109375" style="9" customWidth="1"/>
    <col min="5122" max="5122" width="16.28515625" style="9" customWidth="1"/>
    <col min="5123" max="5123" width="22.7109375" style="9" bestFit="1" customWidth="1"/>
    <col min="5124" max="5124" width="20.7109375" style="9" bestFit="1" customWidth="1"/>
    <col min="5125" max="5125" width="14.5703125" style="9" bestFit="1" customWidth="1"/>
    <col min="5126" max="5126" width="16.5703125" style="9" bestFit="1" customWidth="1"/>
    <col min="5127" max="5127" width="22.7109375" style="9" bestFit="1" customWidth="1"/>
    <col min="5128" max="5128" width="19" style="9" bestFit="1" customWidth="1"/>
    <col min="5129" max="5129" width="23.85546875" style="9" customWidth="1"/>
    <col min="5130" max="5130" width="24.5703125" style="9" bestFit="1" customWidth="1"/>
    <col min="5131" max="5131" width="24.5703125" style="9" customWidth="1"/>
    <col min="5132" max="5132" width="16.5703125" style="9" bestFit="1" customWidth="1"/>
    <col min="5133" max="5376" width="9" style="9"/>
    <col min="5377" max="5377" width="12.7109375" style="9" customWidth="1"/>
    <col min="5378" max="5378" width="16.28515625" style="9" customWidth="1"/>
    <col min="5379" max="5379" width="22.7109375" style="9" bestFit="1" customWidth="1"/>
    <col min="5380" max="5380" width="20.7109375" style="9" bestFit="1" customWidth="1"/>
    <col min="5381" max="5381" width="14.5703125" style="9" bestFit="1" customWidth="1"/>
    <col min="5382" max="5382" width="16.5703125" style="9" bestFit="1" customWidth="1"/>
    <col min="5383" max="5383" width="22.7109375" style="9" bestFit="1" customWidth="1"/>
    <col min="5384" max="5384" width="19" style="9" bestFit="1" customWidth="1"/>
    <col min="5385" max="5385" width="23.85546875" style="9" customWidth="1"/>
    <col min="5386" max="5386" width="24.5703125" style="9" bestFit="1" customWidth="1"/>
    <col min="5387" max="5387" width="24.5703125" style="9" customWidth="1"/>
    <col min="5388" max="5388" width="16.5703125" style="9" bestFit="1" customWidth="1"/>
    <col min="5389" max="5632" width="9" style="9"/>
    <col min="5633" max="5633" width="12.7109375" style="9" customWidth="1"/>
    <col min="5634" max="5634" width="16.28515625" style="9" customWidth="1"/>
    <col min="5635" max="5635" width="22.7109375" style="9" bestFit="1" customWidth="1"/>
    <col min="5636" max="5636" width="20.7109375" style="9" bestFit="1" customWidth="1"/>
    <col min="5637" max="5637" width="14.5703125" style="9" bestFit="1" customWidth="1"/>
    <col min="5638" max="5638" width="16.5703125" style="9" bestFit="1" customWidth="1"/>
    <col min="5639" max="5639" width="22.7109375" style="9" bestFit="1" customWidth="1"/>
    <col min="5640" max="5640" width="19" style="9" bestFit="1" customWidth="1"/>
    <col min="5641" max="5641" width="23.85546875" style="9" customWidth="1"/>
    <col min="5642" max="5642" width="24.5703125" style="9" bestFit="1" customWidth="1"/>
    <col min="5643" max="5643" width="24.5703125" style="9" customWidth="1"/>
    <col min="5644" max="5644" width="16.5703125" style="9" bestFit="1" customWidth="1"/>
    <col min="5645" max="5888" width="9" style="9"/>
    <col min="5889" max="5889" width="12.7109375" style="9" customWidth="1"/>
    <col min="5890" max="5890" width="16.28515625" style="9" customWidth="1"/>
    <col min="5891" max="5891" width="22.7109375" style="9" bestFit="1" customWidth="1"/>
    <col min="5892" max="5892" width="20.7109375" style="9" bestFit="1" customWidth="1"/>
    <col min="5893" max="5893" width="14.5703125" style="9" bestFit="1" customWidth="1"/>
    <col min="5894" max="5894" width="16.5703125" style="9" bestFit="1" customWidth="1"/>
    <col min="5895" max="5895" width="22.7109375" style="9" bestFit="1" customWidth="1"/>
    <col min="5896" max="5896" width="19" style="9" bestFit="1" customWidth="1"/>
    <col min="5897" max="5897" width="23.85546875" style="9" customWidth="1"/>
    <col min="5898" max="5898" width="24.5703125" style="9" bestFit="1" customWidth="1"/>
    <col min="5899" max="5899" width="24.5703125" style="9" customWidth="1"/>
    <col min="5900" max="5900" width="16.5703125" style="9" bestFit="1" customWidth="1"/>
    <col min="5901" max="6144" width="9" style="9"/>
    <col min="6145" max="6145" width="12.7109375" style="9" customWidth="1"/>
    <col min="6146" max="6146" width="16.28515625" style="9" customWidth="1"/>
    <col min="6147" max="6147" width="22.7109375" style="9" bestFit="1" customWidth="1"/>
    <col min="6148" max="6148" width="20.7109375" style="9" bestFit="1" customWidth="1"/>
    <col min="6149" max="6149" width="14.5703125" style="9" bestFit="1" customWidth="1"/>
    <col min="6150" max="6150" width="16.5703125" style="9" bestFit="1" customWidth="1"/>
    <col min="6151" max="6151" width="22.7109375" style="9" bestFit="1" customWidth="1"/>
    <col min="6152" max="6152" width="19" style="9" bestFit="1" customWidth="1"/>
    <col min="6153" max="6153" width="23.85546875" style="9" customWidth="1"/>
    <col min="6154" max="6154" width="24.5703125" style="9" bestFit="1" customWidth="1"/>
    <col min="6155" max="6155" width="24.5703125" style="9" customWidth="1"/>
    <col min="6156" max="6156" width="16.5703125" style="9" bestFit="1" customWidth="1"/>
    <col min="6157" max="6400" width="9" style="9"/>
    <col min="6401" max="6401" width="12.7109375" style="9" customWidth="1"/>
    <col min="6402" max="6402" width="16.28515625" style="9" customWidth="1"/>
    <col min="6403" max="6403" width="22.7109375" style="9" bestFit="1" customWidth="1"/>
    <col min="6404" max="6404" width="20.7109375" style="9" bestFit="1" customWidth="1"/>
    <col min="6405" max="6405" width="14.5703125" style="9" bestFit="1" customWidth="1"/>
    <col min="6406" max="6406" width="16.5703125" style="9" bestFit="1" customWidth="1"/>
    <col min="6407" max="6407" width="22.7109375" style="9" bestFit="1" customWidth="1"/>
    <col min="6408" max="6408" width="19" style="9" bestFit="1" customWidth="1"/>
    <col min="6409" max="6409" width="23.85546875" style="9" customWidth="1"/>
    <col min="6410" max="6410" width="24.5703125" style="9" bestFit="1" customWidth="1"/>
    <col min="6411" max="6411" width="24.5703125" style="9" customWidth="1"/>
    <col min="6412" max="6412" width="16.5703125" style="9" bestFit="1" customWidth="1"/>
    <col min="6413" max="6656" width="9" style="9"/>
    <col min="6657" max="6657" width="12.7109375" style="9" customWidth="1"/>
    <col min="6658" max="6658" width="16.28515625" style="9" customWidth="1"/>
    <col min="6659" max="6659" width="22.7109375" style="9" bestFit="1" customWidth="1"/>
    <col min="6660" max="6660" width="20.7109375" style="9" bestFit="1" customWidth="1"/>
    <col min="6661" max="6661" width="14.5703125" style="9" bestFit="1" customWidth="1"/>
    <col min="6662" max="6662" width="16.5703125" style="9" bestFit="1" customWidth="1"/>
    <col min="6663" max="6663" width="22.7109375" style="9" bestFit="1" customWidth="1"/>
    <col min="6664" max="6664" width="19" style="9" bestFit="1" customWidth="1"/>
    <col min="6665" max="6665" width="23.85546875" style="9" customWidth="1"/>
    <col min="6666" max="6666" width="24.5703125" style="9" bestFit="1" customWidth="1"/>
    <col min="6667" max="6667" width="24.5703125" style="9" customWidth="1"/>
    <col min="6668" max="6668" width="16.5703125" style="9" bestFit="1" customWidth="1"/>
    <col min="6669" max="6912" width="9" style="9"/>
    <col min="6913" max="6913" width="12.7109375" style="9" customWidth="1"/>
    <col min="6914" max="6914" width="16.28515625" style="9" customWidth="1"/>
    <col min="6915" max="6915" width="22.7109375" style="9" bestFit="1" customWidth="1"/>
    <col min="6916" max="6916" width="20.7109375" style="9" bestFit="1" customWidth="1"/>
    <col min="6917" max="6917" width="14.5703125" style="9" bestFit="1" customWidth="1"/>
    <col min="6918" max="6918" width="16.5703125" style="9" bestFit="1" customWidth="1"/>
    <col min="6919" max="6919" width="22.7109375" style="9" bestFit="1" customWidth="1"/>
    <col min="6920" max="6920" width="19" style="9" bestFit="1" customWidth="1"/>
    <col min="6921" max="6921" width="23.85546875" style="9" customWidth="1"/>
    <col min="6922" max="6922" width="24.5703125" style="9" bestFit="1" customWidth="1"/>
    <col min="6923" max="6923" width="24.5703125" style="9" customWidth="1"/>
    <col min="6924" max="6924" width="16.5703125" style="9" bestFit="1" customWidth="1"/>
    <col min="6925" max="7168" width="9" style="9"/>
    <col min="7169" max="7169" width="12.7109375" style="9" customWidth="1"/>
    <col min="7170" max="7170" width="16.28515625" style="9" customWidth="1"/>
    <col min="7171" max="7171" width="22.7109375" style="9" bestFit="1" customWidth="1"/>
    <col min="7172" max="7172" width="20.7109375" style="9" bestFit="1" customWidth="1"/>
    <col min="7173" max="7173" width="14.5703125" style="9" bestFit="1" customWidth="1"/>
    <col min="7174" max="7174" width="16.5703125" style="9" bestFit="1" customWidth="1"/>
    <col min="7175" max="7175" width="22.7109375" style="9" bestFit="1" customWidth="1"/>
    <col min="7176" max="7176" width="19" style="9" bestFit="1" customWidth="1"/>
    <col min="7177" max="7177" width="23.85546875" style="9" customWidth="1"/>
    <col min="7178" max="7178" width="24.5703125" style="9" bestFit="1" customWidth="1"/>
    <col min="7179" max="7179" width="24.5703125" style="9" customWidth="1"/>
    <col min="7180" max="7180" width="16.5703125" style="9" bestFit="1" customWidth="1"/>
    <col min="7181" max="7424" width="9" style="9"/>
    <col min="7425" max="7425" width="12.7109375" style="9" customWidth="1"/>
    <col min="7426" max="7426" width="16.28515625" style="9" customWidth="1"/>
    <col min="7427" max="7427" width="22.7109375" style="9" bestFit="1" customWidth="1"/>
    <col min="7428" max="7428" width="20.7109375" style="9" bestFit="1" customWidth="1"/>
    <col min="7429" max="7429" width="14.5703125" style="9" bestFit="1" customWidth="1"/>
    <col min="7430" max="7430" width="16.5703125" style="9" bestFit="1" customWidth="1"/>
    <col min="7431" max="7431" width="22.7109375" style="9" bestFit="1" customWidth="1"/>
    <col min="7432" max="7432" width="19" style="9" bestFit="1" customWidth="1"/>
    <col min="7433" max="7433" width="23.85546875" style="9" customWidth="1"/>
    <col min="7434" max="7434" width="24.5703125" style="9" bestFit="1" customWidth="1"/>
    <col min="7435" max="7435" width="24.5703125" style="9" customWidth="1"/>
    <col min="7436" max="7436" width="16.5703125" style="9" bestFit="1" customWidth="1"/>
    <col min="7437" max="7680" width="9" style="9"/>
    <col min="7681" max="7681" width="12.7109375" style="9" customWidth="1"/>
    <col min="7682" max="7682" width="16.28515625" style="9" customWidth="1"/>
    <col min="7683" max="7683" width="22.7109375" style="9" bestFit="1" customWidth="1"/>
    <col min="7684" max="7684" width="20.7109375" style="9" bestFit="1" customWidth="1"/>
    <col min="7685" max="7685" width="14.5703125" style="9" bestFit="1" customWidth="1"/>
    <col min="7686" max="7686" width="16.5703125" style="9" bestFit="1" customWidth="1"/>
    <col min="7687" max="7687" width="22.7109375" style="9" bestFit="1" customWidth="1"/>
    <col min="7688" max="7688" width="19" style="9" bestFit="1" customWidth="1"/>
    <col min="7689" max="7689" width="23.85546875" style="9" customWidth="1"/>
    <col min="7690" max="7690" width="24.5703125" style="9" bestFit="1" customWidth="1"/>
    <col min="7691" max="7691" width="24.5703125" style="9" customWidth="1"/>
    <col min="7692" max="7692" width="16.5703125" style="9" bestFit="1" customWidth="1"/>
    <col min="7693" max="7936" width="9" style="9"/>
    <col min="7937" max="7937" width="12.7109375" style="9" customWidth="1"/>
    <col min="7938" max="7938" width="16.28515625" style="9" customWidth="1"/>
    <col min="7939" max="7939" width="22.7109375" style="9" bestFit="1" customWidth="1"/>
    <col min="7940" max="7940" width="20.7109375" style="9" bestFit="1" customWidth="1"/>
    <col min="7941" max="7941" width="14.5703125" style="9" bestFit="1" customWidth="1"/>
    <col min="7942" max="7942" width="16.5703125" style="9" bestFit="1" customWidth="1"/>
    <col min="7943" max="7943" width="22.7109375" style="9" bestFit="1" customWidth="1"/>
    <col min="7944" max="7944" width="19" style="9" bestFit="1" customWidth="1"/>
    <col min="7945" max="7945" width="23.85546875" style="9" customWidth="1"/>
    <col min="7946" max="7946" width="24.5703125" style="9" bestFit="1" customWidth="1"/>
    <col min="7947" max="7947" width="24.5703125" style="9" customWidth="1"/>
    <col min="7948" max="7948" width="16.5703125" style="9" bestFit="1" customWidth="1"/>
    <col min="7949" max="8192" width="9" style="9"/>
    <col min="8193" max="8193" width="12.7109375" style="9" customWidth="1"/>
    <col min="8194" max="8194" width="16.28515625" style="9" customWidth="1"/>
    <col min="8195" max="8195" width="22.7109375" style="9" bestFit="1" customWidth="1"/>
    <col min="8196" max="8196" width="20.7109375" style="9" bestFit="1" customWidth="1"/>
    <col min="8197" max="8197" width="14.5703125" style="9" bestFit="1" customWidth="1"/>
    <col min="8198" max="8198" width="16.5703125" style="9" bestFit="1" customWidth="1"/>
    <col min="8199" max="8199" width="22.7109375" style="9" bestFit="1" customWidth="1"/>
    <col min="8200" max="8200" width="19" style="9" bestFit="1" customWidth="1"/>
    <col min="8201" max="8201" width="23.85546875" style="9" customWidth="1"/>
    <col min="8202" max="8202" width="24.5703125" style="9" bestFit="1" customWidth="1"/>
    <col min="8203" max="8203" width="24.5703125" style="9" customWidth="1"/>
    <col min="8204" max="8204" width="16.5703125" style="9" bestFit="1" customWidth="1"/>
    <col min="8205" max="8448" width="9" style="9"/>
    <col min="8449" max="8449" width="12.7109375" style="9" customWidth="1"/>
    <col min="8450" max="8450" width="16.28515625" style="9" customWidth="1"/>
    <col min="8451" max="8451" width="22.7109375" style="9" bestFit="1" customWidth="1"/>
    <col min="8452" max="8452" width="20.7109375" style="9" bestFit="1" customWidth="1"/>
    <col min="8453" max="8453" width="14.5703125" style="9" bestFit="1" customWidth="1"/>
    <col min="8454" max="8454" width="16.5703125" style="9" bestFit="1" customWidth="1"/>
    <col min="8455" max="8455" width="22.7109375" style="9" bestFit="1" customWidth="1"/>
    <col min="8456" max="8456" width="19" style="9" bestFit="1" customWidth="1"/>
    <col min="8457" max="8457" width="23.85546875" style="9" customWidth="1"/>
    <col min="8458" max="8458" width="24.5703125" style="9" bestFit="1" customWidth="1"/>
    <col min="8459" max="8459" width="24.5703125" style="9" customWidth="1"/>
    <col min="8460" max="8460" width="16.5703125" style="9" bestFit="1" customWidth="1"/>
    <col min="8461" max="8704" width="9" style="9"/>
    <col min="8705" max="8705" width="12.7109375" style="9" customWidth="1"/>
    <col min="8706" max="8706" width="16.28515625" style="9" customWidth="1"/>
    <col min="8707" max="8707" width="22.7109375" style="9" bestFit="1" customWidth="1"/>
    <col min="8708" max="8708" width="20.7109375" style="9" bestFit="1" customWidth="1"/>
    <col min="8709" max="8709" width="14.5703125" style="9" bestFit="1" customWidth="1"/>
    <col min="8710" max="8710" width="16.5703125" style="9" bestFit="1" customWidth="1"/>
    <col min="8711" max="8711" width="22.7109375" style="9" bestFit="1" customWidth="1"/>
    <col min="8712" max="8712" width="19" style="9" bestFit="1" customWidth="1"/>
    <col min="8713" max="8713" width="23.85546875" style="9" customWidth="1"/>
    <col min="8714" max="8714" width="24.5703125" style="9" bestFit="1" customWidth="1"/>
    <col min="8715" max="8715" width="24.5703125" style="9" customWidth="1"/>
    <col min="8716" max="8716" width="16.5703125" style="9" bestFit="1" customWidth="1"/>
    <col min="8717" max="8960" width="9" style="9"/>
    <col min="8961" max="8961" width="12.7109375" style="9" customWidth="1"/>
    <col min="8962" max="8962" width="16.28515625" style="9" customWidth="1"/>
    <col min="8963" max="8963" width="22.7109375" style="9" bestFit="1" customWidth="1"/>
    <col min="8964" max="8964" width="20.7109375" style="9" bestFit="1" customWidth="1"/>
    <col min="8965" max="8965" width="14.5703125" style="9" bestFit="1" customWidth="1"/>
    <col min="8966" max="8966" width="16.5703125" style="9" bestFit="1" customWidth="1"/>
    <col min="8967" max="8967" width="22.7109375" style="9" bestFit="1" customWidth="1"/>
    <col min="8968" max="8968" width="19" style="9" bestFit="1" customWidth="1"/>
    <col min="8969" max="8969" width="23.85546875" style="9" customWidth="1"/>
    <col min="8970" max="8970" width="24.5703125" style="9" bestFit="1" customWidth="1"/>
    <col min="8971" max="8971" width="24.5703125" style="9" customWidth="1"/>
    <col min="8972" max="8972" width="16.5703125" style="9" bestFit="1" customWidth="1"/>
    <col min="8973" max="9216" width="9" style="9"/>
    <col min="9217" max="9217" width="12.7109375" style="9" customWidth="1"/>
    <col min="9218" max="9218" width="16.28515625" style="9" customWidth="1"/>
    <col min="9219" max="9219" width="22.7109375" style="9" bestFit="1" customWidth="1"/>
    <col min="9220" max="9220" width="20.7109375" style="9" bestFit="1" customWidth="1"/>
    <col min="9221" max="9221" width="14.5703125" style="9" bestFit="1" customWidth="1"/>
    <col min="9222" max="9222" width="16.5703125" style="9" bestFit="1" customWidth="1"/>
    <col min="9223" max="9223" width="22.7109375" style="9" bestFit="1" customWidth="1"/>
    <col min="9224" max="9224" width="19" style="9" bestFit="1" customWidth="1"/>
    <col min="9225" max="9225" width="23.85546875" style="9" customWidth="1"/>
    <col min="9226" max="9226" width="24.5703125" style="9" bestFit="1" customWidth="1"/>
    <col min="9227" max="9227" width="24.5703125" style="9" customWidth="1"/>
    <col min="9228" max="9228" width="16.5703125" style="9" bestFit="1" customWidth="1"/>
    <col min="9229" max="9472" width="9" style="9"/>
    <col min="9473" max="9473" width="12.7109375" style="9" customWidth="1"/>
    <col min="9474" max="9474" width="16.28515625" style="9" customWidth="1"/>
    <col min="9475" max="9475" width="22.7109375" style="9" bestFit="1" customWidth="1"/>
    <col min="9476" max="9476" width="20.7109375" style="9" bestFit="1" customWidth="1"/>
    <col min="9477" max="9477" width="14.5703125" style="9" bestFit="1" customWidth="1"/>
    <col min="9478" max="9478" width="16.5703125" style="9" bestFit="1" customWidth="1"/>
    <col min="9479" max="9479" width="22.7109375" style="9" bestFit="1" customWidth="1"/>
    <col min="9480" max="9480" width="19" style="9" bestFit="1" customWidth="1"/>
    <col min="9481" max="9481" width="23.85546875" style="9" customWidth="1"/>
    <col min="9482" max="9482" width="24.5703125" style="9" bestFit="1" customWidth="1"/>
    <col min="9483" max="9483" width="24.5703125" style="9" customWidth="1"/>
    <col min="9484" max="9484" width="16.5703125" style="9" bestFit="1" customWidth="1"/>
    <col min="9485" max="9728" width="9" style="9"/>
    <col min="9729" max="9729" width="12.7109375" style="9" customWidth="1"/>
    <col min="9730" max="9730" width="16.28515625" style="9" customWidth="1"/>
    <col min="9731" max="9731" width="22.7109375" style="9" bestFit="1" customWidth="1"/>
    <col min="9732" max="9732" width="20.7109375" style="9" bestFit="1" customWidth="1"/>
    <col min="9733" max="9733" width="14.5703125" style="9" bestFit="1" customWidth="1"/>
    <col min="9734" max="9734" width="16.5703125" style="9" bestFit="1" customWidth="1"/>
    <col min="9735" max="9735" width="22.7109375" style="9" bestFit="1" customWidth="1"/>
    <col min="9736" max="9736" width="19" style="9" bestFit="1" customWidth="1"/>
    <col min="9737" max="9737" width="23.85546875" style="9" customWidth="1"/>
    <col min="9738" max="9738" width="24.5703125" style="9" bestFit="1" customWidth="1"/>
    <col min="9739" max="9739" width="24.5703125" style="9" customWidth="1"/>
    <col min="9740" max="9740" width="16.5703125" style="9" bestFit="1" customWidth="1"/>
    <col min="9741" max="9984" width="9" style="9"/>
    <col min="9985" max="9985" width="12.7109375" style="9" customWidth="1"/>
    <col min="9986" max="9986" width="16.28515625" style="9" customWidth="1"/>
    <col min="9987" max="9987" width="22.7109375" style="9" bestFit="1" customWidth="1"/>
    <col min="9988" max="9988" width="20.7109375" style="9" bestFit="1" customWidth="1"/>
    <col min="9989" max="9989" width="14.5703125" style="9" bestFit="1" customWidth="1"/>
    <col min="9990" max="9990" width="16.5703125" style="9" bestFit="1" customWidth="1"/>
    <col min="9991" max="9991" width="22.7109375" style="9" bestFit="1" customWidth="1"/>
    <col min="9992" max="9992" width="19" style="9" bestFit="1" customWidth="1"/>
    <col min="9993" max="9993" width="23.85546875" style="9" customWidth="1"/>
    <col min="9994" max="9994" width="24.5703125" style="9" bestFit="1" customWidth="1"/>
    <col min="9995" max="9995" width="24.5703125" style="9" customWidth="1"/>
    <col min="9996" max="9996" width="16.5703125" style="9" bestFit="1" customWidth="1"/>
    <col min="9997" max="10240" width="9" style="9"/>
    <col min="10241" max="10241" width="12.7109375" style="9" customWidth="1"/>
    <col min="10242" max="10242" width="16.28515625" style="9" customWidth="1"/>
    <col min="10243" max="10243" width="22.7109375" style="9" bestFit="1" customWidth="1"/>
    <col min="10244" max="10244" width="20.7109375" style="9" bestFit="1" customWidth="1"/>
    <col min="10245" max="10245" width="14.5703125" style="9" bestFit="1" customWidth="1"/>
    <col min="10246" max="10246" width="16.5703125" style="9" bestFit="1" customWidth="1"/>
    <col min="10247" max="10247" width="22.7109375" style="9" bestFit="1" customWidth="1"/>
    <col min="10248" max="10248" width="19" style="9" bestFit="1" customWidth="1"/>
    <col min="10249" max="10249" width="23.85546875" style="9" customWidth="1"/>
    <col min="10250" max="10250" width="24.5703125" style="9" bestFit="1" customWidth="1"/>
    <col min="10251" max="10251" width="24.5703125" style="9" customWidth="1"/>
    <col min="10252" max="10252" width="16.5703125" style="9" bestFit="1" customWidth="1"/>
    <col min="10253" max="10496" width="9" style="9"/>
    <col min="10497" max="10497" width="12.7109375" style="9" customWidth="1"/>
    <col min="10498" max="10498" width="16.28515625" style="9" customWidth="1"/>
    <col min="10499" max="10499" width="22.7109375" style="9" bestFit="1" customWidth="1"/>
    <col min="10500" max="10500" width="20.7109375" style="9" bestFit="1" customWidth="1"/>
    <col min="10501" max="10501" width="14.5703125" style="9" bestFit="1" customWidth="1"/>
    <col min="10502" max="10502" width="16.5703125" style="9" bestFit="1" customWidth="1"/>
    <col min="10503" max="10503" width="22.7109375" style="9" bestFit="1" customWidth="1"/>
    <col min="10504" max="10504" width="19" style="9" bestFit="1" customWidth="1"/>
    <col min="10505" max="10505" width="23.85546875" style="9" customWidth="1"/>
    <col min="10506" max="10506" width="24.5703125" style="9" bestFit="1" customWidth="1"/>
    <col min="10507" max="10507" width="24.5703125" style="9" customWidth="1"/>
    <col min="10508" max="10508" width="16.5703125" style="9" bestFit="1" customWidth="1"/>
    <col min="10509" max="10752" width="9" style="9"/>
    <col min="10753" max="10753" width="12.7109375" style="9" customWidth="1"/>
    <col min="10754" max="10754" width="16.28515625" style="9" customWidth="1"/>
    <col min="10755" max="10755" width="22.7109375" style="9" bestFit="1" customWidth="1"/>
    <col min="10756" max="10756" width="20.7109375" style="9" bestFit="1" customWidth="1"/>
    <col min="10757" max="10757" width="14.5703125" style="9" bestFit="1" customWidth="1"/>
    <col min="10758" max="10758" width="16.5703125" style="9" bestFit="1" customWidth="1"/>
    <col min="10759" max="10759" width="22.7109375" style="9" bestFit="1" customWidth="1"/>
    <col min="10760" max="10760" width="19" style="9" bestFit="1" customWidth="1"/>
    <col min="10761" max="10761" width="23.85546875" style="9" customWidth="1"/>
    <col min="10762" max="10762" width="24.5703125" style="9" bestFit="1" customWidth="1"/>
    <col min="10763" max="10763" width="24.5703125" style="9" customWidth="1"/>
    <col min="10764" max="10764" width="16.5703125" style="9" bestFit="1" customWidth="1"/>
    <col min="10765" max="11008" width="9" style="9"/>
    <col min="11009" max="11009" width="12.7109375" style="9" customWidth="1"/>
    <col min="11010" max="11010" width="16.28515625" style="9" customWidth="1"/>
    <col min="11011" max="11011" width="22.7109375" style="9" bestFit="1" customWidth="1"/>
    <col min="11012" max="11012" width="20.7109375" style="9" bestFit="1" customWidth="1"/>
    <col min="11013" max="11013" width="14.5703125" style="9" bestFit="1" customWidth="1"/>
    <col min="11014" max="11014" width="16.5703125" style="9" bestFit="1" customWidth="1"/>
    <col min="11015" max="11015" width="22.7109375" style="9" bestFit="1" customWidth="1"/>
    <col min="11016" max="11016" width="19" style="9" bestFit="1" customWidth="1"/>
    <col min="11017" max="11017" width="23.85546875" style="9" customWidth="1"/>
    <col min="11018" max="11018" width="24.5703125" style="9" bestFit="1" customWidth="1"/>
    <col min="11019" max="11019" width="24.5703125" style="9" customWidth="1"/>
    <col min="11020" max="11020" width="16.5703125" style="9" bestFit="1" customWidth="1"/>
    <col min="11021" max="11264" width="9" style="9"/>
    <col min="11265" max="11265" width="12.7109375" style="9" customWidth="1"/>
    <col min="11266" max="11266" width="16.28515625" style="9" customWidth="1"/>
    <col min="11267" max="11267" width="22.7109375" style="9" bestFit="1" customWidth="1"/>
    <col min="11268" max="11268" width="20.7109375" style="9" bestFit="1" customWidth="1"/>
    <col min="11269" max="11269" width="14.5703125" style="9" bestFit="1" customWidth="1"/>
    <col min="11270" max="11270" width="16.5703125" style="9" bestFit="1" customWidth="1"/>
    <col min="11271" max="11271" width="22.7109375" style="9" bestFit="1" customWidth="1"/>
    <col min="11272" max="11272" width="19" style="9" bestFit="1" customWidth="1"/>
    <col min="11273" max="11273" width="23.85546875" style="9" customWidth="1"/>
    <col min="11274" max="11274" width="24.5703125" style="9" bestFit="1" customWidth="1"/>
    <col min="11275" max="11275" width="24.5703125" style="9" customWidth="1"/>
    <col min="11276" max="11276" width="16.5703125" style="9" bestFit="1" customWidth="1"/>
    <col min="11277" max="11520" width="9" style="9"/>
    <col min="11521" max="11521" width="12.7109375" style="9" customWidth="1"/>
    <col min="11522" max="11522" width="16.28515625" style="9" customWidth="1"/>
    <col min="11523" max="11523" width="22.7109375" style="9" bestFit="1" customWidth="1"/>
    <col min="11524" max="11524" width="20.7109375" style="9" bestFit="1" customWidth="1"/>
    <col min="11525" max="11525" width="14.5703125" style="9" bestFit="1" customWidth="1"/>
    <col min="11526" max="11526" width="16.5703125" style="9" bestFit="1" customWidth="1"/>
    <col min="11527" max="11527" width="22.7109375" style="9" bestFit="1" customWidth="1"/>
    <col min="11528" max="11528" width="19" style="9" bestFit="1" customWidth="1"/>
    <col min="11529" max="11529" width="23.85546875" style="9" customWidth="1"/>
    <col min="11530" max="11530" width="24.5703125" style="9" bestFit="1" customWidth="1"/>
    <col min="11531" max="11531" width="24.5703125" style="9" customWidth="1"/>
    <col min="11532" max="11532" width="16.5703125" style="9" bestFit="1" customWidth="1"/>
    <col min="11533" max="11776" width="9" style="9"/>
    <col min="11777" max="11777" width="12.7109375" style="9" customWidth="1"/>
    <col min="11778" max="11778" width="16.28515625" style="9" customWidth="1"/>
    <col min="11779" max="11779" width="22.7109375" style="9" bestFit="1" customWidth="1"/>
    <col min="11780" max="11780" width="20.7109375" style="9" bestFit="1" customWidth="1"/>
    <col min="11781" max="11781" width="14.5703125" style="9" bestFit="1" customWidth="1"/>
    <col min="11782" max="11782" width="16.5703125" style="9" bestFit="1" customWidth="1"/>
    <col min="11783" max="11783" width="22.7109375" style="9" bestFit="1" customWidth="1"/>
    <col min="11784" max="11784" width="19" style="9" bestFit="1" customWidth="1"/>
    <col min="11785" max="11785" width="23.85546875" style="9" customWidth="1"/>
    <col min="11786" max="11786" width="24.5703125" style="9" bestFit="1" customWidth="1"/>
    <col min="11787" max="11787" width="24.5703125" style="9" customWidth="1"/>
    <col min="11788" max="11788" width="16.5703125" style="9" bestFit="1" customWidth="1"/>
    <col min="11789" max="12032" width="9" style="9"/>
    <col min="12033" max="12033" width="12.7109375" style="9" customWidth="1"/>
    <col min="12034" max="12034" width="16.28515625" style="9" customWidth="1"/>
    <col min="12035" max="12035" width="22.7109375" style="9" bestFit="1" customWidth="1"/>
    <col min="12036" max="12036" width="20.7109375" style="9" bestFit="1" customWidth="1"/>
    <col min="12037" max="12037" width="14.5703125" style="9" bestFit="1" customWidth="1"/>
    <col min="12038" max="12038" width="16.5703125" style="9" bestFit="1" customWidth="1"/>
    <col min="12039" max="12039" width="22.7109375" style="9" bestFit="1" customWidth="1"/>
    <col min="12040" max="12040" width="19" style="9" bestFit="1" customWidth="1"/>
    <col min="12041" max="12041" width="23.85546875" style="9" customWidth="1"/>
    <col min="12042" max="12042" width="24.5703125" style="9" bestFit="1" customWidth="1"/>
    <col min="12043" max="12043" width="24.5703125" style="9" customWidth="1"/>
    <col min="12044" max="12044" width="16.5703125" style="9" bestFit="1" customWidth="1"/>
    <col min="12045" max="12288" width="9" style="9"/>
    <col min="12289" max="12289" width="12.7109375" style="9" customWidth="1"/>
    <col min="12290" max="12290" width="16.28515625" style="9" customWidth="1"/>
    <col min="12291" max="12291" width="22.7109375" style="9" bestFit="1" customWidth="1"/>
    <col min="12292" max="12292" width="20.7109375" style="9" bestFit="1" customWidth="1"/>
    <col min="12293" max="12293" width="14.5703125" style="9" bestFit="1" customWidth="1"/>
    <col min="12294" max="12294" width="16.5703125" style="9" bestFit="1" customWidth="1"/>
    <col min="12295" max="12295" width="22.7109375" style="9" bestFit="1" customWidth="1"/>
    <col min="12296" max="12296" width="19" style="9" bestFit="1" customWidth="1"/>
    <col min="12297" max="12297" width="23.85546875" style="9" customWidth="1"/>
    <col min="12298" max="12298" width="24.5703125" style="9" bestFit="1" customWidth="1"/>
    <col min="12299" max="12299" width="24.5703125" style="9" customWidth="1"/>
    <col min="12300" max="12300" width="16.5703125" style="9" bestFit="1" customWidth="1"/>
    <col min="12301" max="12544" width="9" style="9"/>
    <col min="12545" max="12545" width="12.7109375" style="9" customWidth="1"/>
    <col min="12546" max="12546" width="16.28515625" style="9" customWidth="1"/>
    <col min="12547" max="12547" width="22.7109375" style="9" bestFit="1" customWidth="1"/>
    <col min="12548" max="12548" width="20.7109375" style="9" bestFit="1" customWidth="1"/>
    <col min="12549" max="12549" width="14.5703125" style="9" bestFit="1" customWidth="1"/>
    <col min="12550" max="12550" width="16.5703125" style="9" bestFit="1" customWidth="1"/>
    <col min="12551" max="12551" width="22.7109375" style="9" bestFit="1" customWidth="1"/>
    <col min="12552" max="12552" width="19" style="9" bestFit="1" customWidth="1"/>
    <col min="12553" max="12553" width="23.85546875" style="9" customWidth="1"/>
    <col min="12554" max="12554" width="24.5703125" style="9" bestFit="1" customWidth="1"/>
    <col min="12555" max="12555" width="24.5703125" style="9" customWidth="1"/>
    <col min="12556" max="12556" width="16.5703125" style="9" bestFit="1" customWidth="1"/>
    <col min="12557" max="12800" width="9" style="9"/>
    <col min="12801" max="12801" width="12.7109375" style="9" customWidth="1"/>
    <col min="12802" max="12802" width="16.28515625" style="9" customWidth="1"/>
    <col min="12803" max="12803" width="22.7109375" style="9" bestFit="1" customWidth="1"/>
    <col min="12804" max="12804" width="20.7109375" style="9" bestFit="1" customWidth="1"/>
    <col min="12805" max="12805" width="14.5703125" style="9" bestFit="1" customWidth="1"/>
    <col min="12806" max="12806" width="16.5703125" style="9" bestFit="1" customWidth="1"/>
    <col min="12807" max="12807" width="22.7109375" style="9" bestFit="1" customWidth="1"/>
    <col min="12808" max="12808" width="19" style="9" bestFit="1" customWidth="1"/>
    <col min="12809" max="12809" width="23.85546875" style="9" customWidth="1"/>
    <col min="12810" max="12810" width="24.5703125" style="9" bestFit="1" customWidth="1"/>
    <col min="12811" max="12811" width="24.5703125" style="9" customWidth="1"/>
    <col min="12812" max="12812" width="16.5703125" style="9" bestFit="1" customWidth="1"/>
    <col min="12813" max="13056" width="9" style="9"/>
    <col min="13057" max="13057" width="12.7109375" style="9" customWidth="1"/>
    <col min="13058" max="13058" width="16.28515625" style="9" customWidth="1"/>
    <col min="13059" max="13059" width="22.7109375" style="9" bestFit="1" customWidth="1"/>
    <col min="13060" max="13060" width="20.7109375" style="9" bestFit="1" customWidth="1"/>
    <col min="13061" max="13061" width="14.5703125" style="9" bestFit="1" customWidth="1"/>
    <col min="13062" max="13062" width="16.5703125" style="9" bestFit="1" customWidth="1"/>
    <col min="13063" max="13063" width="22.7109375" style="9" bestFit="1" customWidth="1"/>
    <col min="13064" max="13064" width="19" style="9" bestFit="1" customWidth="1"/>
    <col min="13065" max="13065" width="23.85546875" style="9" customWidth="1"/>
    <col min="13066" max="13066" width="24.5703125" style="9" bestFit="1" customWidth="1"/>
    <col min="13067" max="13067" width="24.5703125" style="9" customWidth="1"/>
    <col min="13068" max="13068" width="16.5703125" style="9" bestFit="1" customWidth="1"/>
    <col min="13069" max="13312" width="9" style="9"/>
    <col min="13313" max="13313" width="12.7109375" style="9" customWidth="1"/>
    <col min="13314" max="13314" width="16.28515625" style="9" customWidth="1"/>
    <col min="13315" max="13315" width="22.7109375" style="9" bestFit="1" customWidth="1"/>
    <col min="13316" max="13316" width="20.7109375" style="9" bestFit="1" customWidth="1"/>
    <col min="13317" max="13317" width="14.5703125" style="9" bestFit="1" customWidth="1"/>
    <col min="13318" max="13318" width="16.5703125" style="9" bestFit="1" customWidth="1"/>
    <col min="13319" max="13319" width="22.7109375" style="9" bestFit="1" customWidth="1"/>
    <col min="13320" max="13320" width="19" style="9" bestFit="1" customWidth="1"/>
    <col min="13321" max="13321" width="23.85546875" style="9" customWidth="1"/>
    <col min="13322" max="13322" width="24.5703125" style="9" bestFit="1" customWidth="1"/>
    <col min="13323" max="13323" width="24.5703125" style="9" customWidth="1"/>
    <col min="13324" max="13324" width="16.5703125" style="9" bestFit="1" customWidth="1"/>
    <col min="13325" max="13568" width="9" style="9"/>
    <col min="13569" max="13569" width="12.7109375" style="9" customWidth="1"/>
    <col min="13570" max="13570" width="16.28515625" style="9" customWidth="1"/>
    <col min="13571" max="13571" width="22.7109375" style="9" bestFit="1" customWidth="1"/>
    <col min="13572" max="13572" width="20.7109375" style="9" bestFit="1" customWidth="1"/>
    <col min="13573" max="13573" width="14.5703125" style="9" bestFit="1" customWidth="1"/>
    <col min="13574" max="13574" width="16.5703125" style="9" bestFit="1" customWidth="1"/>
    <col min="13575" max="13575" width="22.7109375" style="9" bestFit="1" customWidth="1"/>
    <col min="13576" max="13576" width="19" style="9" bestFit="1" customWidth="1"/>
    <col min="13577" max="13577" width="23.85546875" style="9" customWidth="1"/>
    <col min="13578" max="13578" width="24.5703125" style="9" bestFit="1" customWidth="1"/>
    <col min="13579" max="13579" width="24.5703125" style="9" customWidth="1"/>
    <col min="13580" max="13580" width="16.5703125" style="9" bestFit="1" customWidth="1"/>
    <col min="13581" max="13824" width="9" style="9"/>
    <col min="13825" max="13825" width="12.7109375" style="9" customWidth="1"/>
    <col min="13826" max="13826" width="16.28515625" style="9" customWidth="1"/>
    <col min="13827" max="13827" width="22.7109375" style="9" bestFit="1" customWidth="1"/>
    <col min="13828" max="13828" width="20.7109375" style="9" bestFit="1" customWidth="1"/>
    <col min="13829" max="13829" width="14.5703125" style="9" bestFit="1" customWidth="1"/>
    <col min="13830" max="13830" width="16.5703125" style="9" bestFit="1" customWidth="1"/>
    <col min="13831" max="13831" width="22.7109375" style="9" bestFit="1" customWidth="1"/>
    <col min="13832" max="13832" width="19" style="9" bestFit="1" customWidth="1"/>
    <col min="13833" max="13833" width="23.85546875" style="9" customWidth="1"/>
    <col min="13834" max="13834" width="24.5703125" style="9" bestFit="1" customWidth="1"/>
    <col min="13835" max="13835" width="24.5703125" style="9" customWidth="1"/>
    <col min="13836" max="13836" width="16.5703125" style="9" bestFit="1" customWidth="1"/>
    <col min="13837" max="14080" width="9" style="9"/>
    <col min="14081" max="14081" width="12.7109375" style="9" customWidth="1"/>
    <col min="14082" max="14082" width="16.28515625" style="9" customWidth="1"/>
    <col min="14083" max="14083" width="22.7109375" style="9" bestFit="1" customWidth="1"/>
    <col min="14084" max="14084" width="20.7109375" style="9" bestFit="1" customWidth="1"/>
    <col min="14085" max="14085" width="14.5703125" style="9" bestFit="1" customWidth="1"/>
    <col min="14086" max="14086" width="16.5703125" style="9" bestFit="1" customWidth="1"/>
    <col min="14087" max="14087" width="22.7109375" style="9" bestFit="1" customWidth="1"/>
    <col min="14088" max="14088" width="19" style="9" bestFit="1" customWidth="1"/>
    <col min="14089" max="14089" width="23.85546875" style="9" customWidth="1"/>
    <col min="14090" max="14090" width="24.5703125" style="9" bestFit="1" customWidth="1"/>
    <col min="14091" max="14091" width="24.5703125" style="9" customWidth="1"/>
    <col min="14092" max="14092" width="16.5703125" style="9" bestFit="1" customWidth="1"/>
    <col min="14093" max="14336" width="9" style="9"/>
    <col min="14337" max="14337" width="12.7109375" style="9" customWidth="1"/>
    <col min="14338" max="14338" width="16.28515625" style="9" customWidth="1"/>
    <col min="14339" max="14339" width="22.7109375" style="9" bestFit="1" customWidth="1"/>
    <col min="14340" max="14340" width="20.7109375" style="9" bestFit="1" customWidth="1"/>
    <col min="14341" max="14341" width="14.5703125" style="9" bestFit="1" customWidth="1"/>
    <col min="14342" max="14342" width="16.5703125" style="9" bestFit="1" customWidth="1"/>
    <col min="14343" max="14343" width="22.7109375" style="9" bestFit="1" customWidth="1"/>
    <col min="14344" max="14344" width="19" style="9" bestFit="1" customWidth="1"/>
    <col min="14345" max="14345" width="23.85546875" style="9" customWidth="1"/>
    <col min="14346" max="14346" width="24.5703125" style="9" bestFit="1" customWidth="1"/>
    <col min="14347" max="14347" width="24.5703125" style="9" customWidth="1"/>
    <col min="14348" max="14348" width="16.5703125" style="9" bestFit="1" customWidth="1"/>
    <col min="14349" max="14592" width="9" style="9"/>
    <col min="14593" max="14593" width="12.7109375" style="9" customWidth="1"/>
    <col min="14594" max="14594" width="16.28515625" style="9" customWidth="1"/>
    <col min="14595" max="14595" width="22.7109375" style="9" bestFit="1" customWidth="1"/>
    <col min="14596" max="14596" width="20.7109375" style="9" bestFit="1" customWidth="1"/>
    <col min="14597" max="14597" width="14.5703125" style="9" bestFit="1" customWidth="1"/>
    <col min="14598" max="14598" width="16.5703125" style="9" bestFit="1" customWidth="1"/>
    <col min="14599" max="14599" width="22.7109375" style="9" bestFit="1" customWidth="1"/>
    <col min="14600" max="14600" width="19" style="9" bestFit="1" customWidth="1"/>
    <col min="14601" max="14601" width="23.85546875" style="9" customWidth="1"/>
    <col min="14602" max="14602" width="24.5703125" style="9" bestFit="1" customWidth="1"/>
    <col min="14603" max="14603" width="24.5703125" style="9" customWidth="1"/>
    <col min="14604" max="14604" width="16.5703125" style="9" bestFit="1" customWidth="1"/>
    <col min="14605" max="14848" width="9" style="9"/>
    <col min="14849" max="14849" width="12.7109375" style="9" customWidth="1"/>
    <col min="14850" max="14850" width="16.28515625" style="9" customWidth="1"/>
    <col min="14851" max="14851" width="22.7109375" style="9" bestFit="1" customWidth="1"/>
    <col min="14852" max="14852" width="20.7109375" style="9" bestFit="1" customWidth="1"/>
    <col min="14853" max="14853" width="14.5703125" style="9" bestFit="1" customWidth="1"/>
    <col min="14854" max="14854" width="16.5703125" style="9" bestFit="1" customWidth="1"/>
    <col min="14855" max="14855" width="22.7109375" style="9" bestFit="1" customWidth="1"/>
    <col min="14856" max="14856" width="19" style="9" bestFit="1" customWidth="1"/>
    <col min="14857" max="14857" width="23.85546875" style="9" customWidth="1"/>
    <col min="14858" max="14858" width="24.5703125" style="9" bestFit="1" customWidth="1"/>
    <col min="14859" max="14859" width="24.5703125" style="9" customWidth="1"/>
    <col min="14860" max="14860" width="16.5703125" style="9" bestFit="1" customWidth="1"/>
    <col min="14861" max="15104" width="9" style="9"/>
    <col min="15105" max="15105" width="12.7109375" style="9" customWidth="1"/>
    <col min="15106" max="15106" width="16.28515625" style="9" customWidth="1"/>
    <col min="15107" max="15107" width="22.7109375" style="9" bestFit="1" customWidth="1"/>
    <col min="15108" max="15108" width="20.7109375" style="9" bestFit="1" customWidth="1"/>
    <col min="15109" max="15109" width="14.5703125" style="9" bestFit="1" customWidth="1"/>
    <col min="15110" max="15110" width="16.5703125" style="9" bestFit="1" customWidth="1"/>
    <col min="15111" max="15111" width="22.7109375" style="9" bestFit="1" customWidth="1"/>
    <col min="15112" max="15112" width="19" style="9" bestFit="1" customWidth="1"/>
    <col min="15113" max="15113" width="23.85546875" style="9" customWidth="1"/>
    <col min="15114" max="15114" width="24.5703125" style="9" bestFit="1" customWidth="1"/>
    <col min="15115" max="15115" width="24.5703125" style="9" customWidth="1"/>
    <col min="15116" max="15116" width="16.5703125" style="9" bestFit="1" customWidth="1"/>
    <col min="15117" max="15360" width="9" style="9"/>
    <col min="15361" max="15361" width="12.7109375" style="9" customWidth="1"/>
    <col min="15362" max="15362" width="16.28515625" style="9" customWidth="1"/>
    <col min="15363" max="15363" width="22.7109375" style="9" bestFit="1" customWidth="1"/>
    <col min="15364" max="15364" width="20.7109375" style="9" bestFit="1" customWidth="1"/>
    <col min="15365" max="15365" width="14.5703125" style="9" bestFit="1" customWidth="1"/>
    <col min="15366" max="15366" width="16.5703125" style="9" bestFit="1" customWidth="1"/>
    <col min="15367" max="15367" width="22.7109375" style="9" bestFit="1" customWidth="1"/>
    <col min="15368" max="15368" width="19" style="9" bestFit="1" customWidth="1"/>
    <col min="15369" max="15369" width="23.85546875" style="9" customWidth="1"/>
    <col min="15370" max="15370" width="24.5703125" style="9" bestFit="1" customWidth="1"/>
    <col min="15371" max="15371" width="24.5703125" style="9" customWidth="1"/>
    <col min="15372" max="15372" width="16.5703125" style="9" bestFit="1" customWidth="1"/>
    <col min="15373" max="15616" width="9" style="9"/>
    <col min="15617" max="15617" width="12.7109375" style="9" customWidth="1"/>
    <col min="15618" max="15618" width="16.28515625" style="9" customWidth="1"/>
    <col min="15619" max="15619" width="22.7109375" style="9" bestFit="1" customWidth="1"/>
    <col min="15620" max="15620" width="20.7109375" style="9" bestFit="1" customWidth="1"/>
    <col min="15621" max="15621" width="14.5703125" style="9" bestFit="1" customWidth="1"/>
    <col min="15622" max="15622" width="16.5703125" style="9" bestFit="1" customWidth="1"/>
    <col min="15623" max="15623" width="22.7109375" style="9" bestFit="1" customWidth="1"/>
    <col min="15624" max="15624" width="19" style="9" bestFit="1" customWidth="1"/>
    <col min="15625" max="15625" width="23.85546875" style="9" customWidth="1"/>
    <col min="15626" max="15626" width="24.5703125" style="9" bestFit="1" customWidth="1"/>
    <col min="15627" max="15627" width="24.5703125" style="9" customWidth="1"/>
    <col min="15628" max="15628" width="16.5703125" style="9" bestFit="1" customWidth="1"/>
    <col min="15629" max="15872" width="9" style="9"/>
    <col min="15873" max="15873" width="12.7109375" style="9" customWidth="1"/>
    <col min="15874" max="15874" width="16.28515625" style="9" customWidth="1"/>
    <col min="15875" max="15875" width="22.7109375" style="9" bestFit="1" customWidth="1"/>
    <col min="15876" max="15876" width="20.7109375" style="9" bestFit="1" customWidth="1"/>
    <col min="15877" max="15877" width="14.5703125" style="9" bestFit="1" customWidth="1"/>
    <col min="15878" max="15878" width="16.5703125" style="9" bestFit="1" customWidth="1"/>
    <col min="15879" max="15879" width="22.7109375" style="9" bestFit="1" customWidth="1"/>
    <col min="15880" max="15880" width="19" style="9" bestFit="1" customWidth="1"/>
    <col min="15881" max="15881" width="23.85546875" style="9" customWidth="1"/>
    <col min="15882" max="15882" width="24.5703125" style="9" bestFit="1" customWidth="1"/>
    <col min="15883" max="15883" width="24.5703125" style="9" customWidth="1"/>
    <col min="15884" max="15884" width="16.5703125" style="9" bestFit="1" customWidth="1"/>
    <col min="15885" max="16128" width="9" style="9"/>
    <col min="16129" max="16129" width="12.7109375" style="9" customWidth="1"/>
    <col min="16130" max="16130" width="16.28515625" style="9" customWidth="1"/>
    <col min="16131" max="16131" width="22.7109375" style="9" bestFit="1" customWidth="1"/>
    <col min="16132" max="16132" width="20.7109375" style="9" bestFit="1" customWidth="1"/>
    <col min="16133" max="16133" width="14.5703125" style="9" bestFit="1" customWidth="1"/>
    <col min="16134" max="16134" width="16.5703125" style="9" bestFit="1" customWidth="1"/>
    <col min="16135" max="16135" width="22.7109375" style="9" bestFit="1" customWidth="1"/>
    <col min="16136" max="16136" width="19" style="9" bestFit="1" customWidth="1"/>
    <col min="16137" max="16137" width="23.85546875" style="9" customWidth="1"/>
    <col min="16138" max="16138" width="24.5703125" style="9" bestFit="1" customWidth="1"/>
    <col min="16139" max="16139" width="24.5703125" style="9" customWidth="1"/>
    <col min="16140" max="16140" width="16.5703125" style="9" bestFit="1" customWidth="1"/>
    <col min="16141" max="16384" width="9" style="9"/>
  </cols>
  <sheetData>
    <row r="1" spans="1:13" ht="20.25" x14ac:dyDescent="0.3">
      <c r="A1" s="8" t="s">
        <v>65</v>
      </c>
      <c r="B1" s="8"/>
      <c r="C1" s="8"/>
      <c r="D1" s="8"/>
      <c r="E1" s="8"/>
    </row>
    <row r="2" spans="1:13" ht="15" x14ac:dyDescent="0.25">
      <c r="A2" s="10" t="s">
        <v>66</v>
      </c>
      <c r="B2" s="11" t="s">
        <v>67</v>
      </c>
      <c r="C2" s="11"/>
      <c r="D2" s="12"/>
      <c r="E2" s="12"/>
    </row>
    <row r="3" spans="1:13" ht="15" x14ac:dyDescent="0.25">
      <c r="A3" s="10" t="s">
        <v>68</v>
      </c>
      <c r="B3" s="13" t="s">
        <v>69</v>
      </c>
      <c r="C3" s="11"/>
      <c r="D3" s="12"/>
      <c r="E3" s="12"/>
    </row>
    <row r="4" spans="1:13" ht="15" x14ac:dyDescent="0.25">
      <c r="A4" s="10" t="s">
        <v>70</v>
      </c>
      <c r="B4" s="13" t="s">
        <v>71</v>
      </c>
      <c r="C4" s="13"/>
      <c r="D4" s="14"/>
      <c r="E4" s="14"/>
    </row>
    <row r="5" spans="1:13" ht="15" x14ac:dyDescent="0.25">
      <c r="A5" s="10" t="s">
        <v>72</v>
      </c>
      <c r="B5" s="15" t="s">
        <v>73</v>
      </c>
      <c r="C5" s="16"/>
      <c r="D5" s="17"/>
      <c r="E5" s="17"/>
    </row>
    <row r="6" spans="1:13" ht="15" x14ac:dyDescent="0.25">
      <c r="A6" s="10" t="s">
        <v>74</v>
      </c>
      <c r="B6" s="18" t="s">
        <v>75</v>
      </c>
      <c r="C6" s="19"/>
      <c r="D6" s="17"/>
      <c r="E6" s="17"/>
    </row>
    <row r="7" spans="1:13" ht="15" x14ac:dyDescent="0.25">
      <c r="A7" s="10" t="s">
        <v>76</v>
      </c>
      <c r="B7" s="18" t="s">
        <v>77</v>
      </c>
      <c r="C7" s="19"/>
      <c r="D7" s="17"/>
      <c r="E7" s="17"/>
    </row>
    <row r="8" spans="1:13" ht="15" x14ac:dyDescent="0.25">
      <c r="A8" s="10" t="s">
        <v>78</v>
      </c>
      <c r="B8" s="18" t="s">
        <v>79</v>
      </c>
      <c r="C8" s="19"/>
      <c r="D8" s="17"/>
      <c r="E8" s="17"/>
    </row>
    <row r="9" spans="1:13" ht="15" x14ac:dyDescent="0.25">
      <c r="A9" s="20" t="s">
        <v>80</v>
      </c>
      <c r="B9" s="21"/>
      <c r="C9" s="22"/>
      <c r="D9" s="23"/>
      <c r="E9" s="24"/>
    </row>
    <row r="11" spans="1:13" s="25" customFormat="1" ht="22.9" customHeight="1" x14ac:dyDescent="0.2">
      <c r="A11" s="75" t="s">
        <v>81</v>
      </c>
      <c r="B11" s="76" t="s">
        <v>82</v>
      </c>
      <c r="C11" s="77"/>
      <c r="D11" s="77"/>
      <c r="E11" s="77"/>
      <c r="F11" s="77"/>
      <c r="G11" s="77"/>
      <c r="H11" s="77"/>
      <c r="I11" s="77"/>
      <c r="J11" s="77"/>
      <c r="K11" s="77"/>
      <c r="L11" s="77"/>
    </row>
    <row r="12" spans="1:13" s="25" customFormat="1" ht="22.9" customHeight="1" x14ac:dyDescent="0.2">
      <c r="A12" s="75"/>
      <c r="B12" s="78" t="s">
        <v>83</v>
      </c>
      <c r="C12" s="78"/>
      <c r="D12" s="78"/>
      <c r="E12" s="78"/>
      <c r="F12" s="78"/>
      <c r="G12" s="73" t="s">
        <v>84</v>
      </c>
      <c r="H12" s="73"/>
      <c r="I12" s="73"/>
      <c r="J12" s="73"/>
      <c r="K12" s="73"/>
      <c r="L12" s="79" t="s">
        <v>85</v>
      </c>
    </row>
    <row r="13" spans="1:13" s="25" customFormat="1" ht="22.9" customHeight="1" x14ac:dyDescent="0.2">
      <c r="A13" s="75"/>
      <c r="B13" s="81" t="s">
        <v>86</v>
      </c>
      <c r="C13" s="81"/>
      <c r="D13" s="81"/>
      <c r="E13" s="75" t="s">
        <v>87</v>
      </c>
      <c r="F13" s="83" t="s">
        <v>88</v>
      </c>
      <c r="G13" s="81" t="s">
        <v>86</v>
      </c>
      <c r="H13" s="81"/>
      <c r="I13" s="81"/>
      <c r="J13" s="75" t="s">
        <v>89</v>
      </c>
      <c r="K13" s="73" t="s">
        <v>90</v>
      </c>
      <c r="L13" s="79"/>
    </row>
    <row r="14" spans="1:13" s="25" customFormat="1" ht="21.6" customHeight="1" x14ac:dyDescent="0.2">
      <c r="A14" s="75"/>
      <c r="B14" s="26" t="s">
        <v>91</v>
      </c>
      <c r="C14" s="26" t="s">
        <v>92</v>
      </c>
      <c r="D14" s="27" t="s">
        <v>93</v>
      </c>
      <c r="E14" s="82"/>
      <c r="F14" s="84"/>
      <c r="G14" s="26" t="s">
        <v>91</v>
      </c>
      <c r="H14" s="26" t="s">
        <v>94</v>
      </c>
      <c r="I14" s="27" t="s">
        <v>95</v>
      </c>
      <c r="J14" s="82"/>
      <c r="K14" s="74"/>
      <c r="L14" s="80"/>
    </row>
    <row r="15" spans="1:13" x14ac:dyDescent="0.2">
      <c r="A15" s="28">
        <v>39448</v>
      </c>
      <c r="B15" s="29">
        <v>111.041</v>
      </c>
      <c r="C15" s="29">
        <v>38.543873648333303</v>
      </c>
      <c r="D15" s="29">
        <v>149.58487364833331</v>
      </c>
      <c r="E15" s="29">
        <v>23.3</v>
      </c>
      <c r="F15" s="30">
        <v>172.88487364833333</v>
      </c>
      <c r="G15" s="29">
        <v>9.9</v>
      </c>
      <c r="H15" s="29">
        <v>17.5</v>
      </c>
      <c r="I15" s="29">
        <v>27.4</v>
      </c>
      <c r="J15" s="29">
        <v>1.6</v>
      </c>
      <c r="K15" s="30">
        <v>29</v>
      </c>
      <c r="L15" s="30">
        <v>143.88487364833333</v>
      </c>
      <c r="M15" s="31"/>
    </row>
    <row r="16" spans="1:13" x14ac:dyDescent="0.2">
      <c r="A16" s="28">
        <v>39479</v>
      </c>
      <c r="B16" s="29">
        <v>122.1</v>
      </c>
      <c r="C16" s="29">
        <v>40.234292260833399</v>
      </c>
      <c r="D16" s="29">
        <v>162.33429226083339</v>
      </c>
      <c r="E16" s="29">
        <v>23.3</v>
      </c>
      <c r="F16" s="30">
        <v>185.6342922608334</v>
      </c>
      <c r="G16" s="29">
        <v>9.6999999999999993</v>
      </c>
      <c r="H16" s="29">
        <v>16.8</v>
      </c>
      <c r="I16" s="29">
        <v>26.5</v>
      </c>
      <c r="J16" s="29">
        <v>1.6</v>
      </c>
      <c r="K16" s="30">
        <v>28.1</v>
      </c>
      <c r="L16" s="30">
        <v>157.53429226083341</v>
      </c>
      <c r="M16" s="31"/>
    </row>
    <row r="17" spans="1:13" x14ac:dyDescent="0.2">
      <c r="A17" s="28">
        <v>39508</v>
      </c>
      <c r="B17" s="29">
        <v>131.69999999999999</v>
      </c>
      <c r="C17" s="29">
        <v>42.6</v>
      </c>
      <c r="D17" s="29">
        <v>174.29999999999998</v>
      </c>
      <c r="E17" s="29">
        <v>23.3</v>
      </c>
      <c r="F17" s="30">
        <v>197.6</v>
      </c>
      <c r="G17" s="29">
        <v>8.6999999999999993</v>
      </c>
      <c r="H17" s="29">
        <v>18.100000000000001</v>
      </c>
      <c r="I17" s="29">
        <v>26.8</v>
      </c>
      <c r="J17" s="29">
        <v>1.6</v>
      </c>
      <c r="K17" s="30">
        <v>28.400000000000002</v>
      </c>
      <c r="L17" s="30">
        <v>169.2</v>
      </c>
      <c r="M17" s="31"/>
    </row>
    <row r="18" spans="1:13" x14ac:dyDescent="0.2">
      <c r="A18" s="28">
        <v>39539</v>
      </c>
      <c r="B18" s="29">
        <v>128.6</v>
      </c>
      <c r="C18" s="29">
        <v>48.7951908858333</v>
      </c>
      <c r="D18" s="29">
        <v>177.3951908858333</v>
      </c>
      <c r="E18" s="29">
        <v>23.3</v>
      </c>
      <c r="F18" s="30">
        <v>200.69519088583331</v>
      </c>
      <c r="G18" s="29">
        <v>8.9</v>
      </c>
      <c r="H18" s="29">
        <v>17</v>
      </c>
      <c r="I18" s="29">
        <v>25.9</v>
      </c>
      <c r="J18" s="29">
        <v>1.6</v>
      </c>
      <c r="K18" s="30">
        <v>27.5</v>
      </c>
      <c r="L18" s="30">
        <v>173.19519088583331</v>
      </c>
      <c r="M18" s="31"/>
    </row>
    <row r="19" spans="1:13" x14ac:dyDescent="0.2">
      <c r="A19" s="28">
        <v>39569</v>
      </c>
      <c r="B19" s="29">
        <v>138.30000000000001</v>
      </c>
      <c r="C19" s="29">
        <v>42.2</v>
      </c>
      <c r="D19" s="29">
        <v>180.5</v>
      </c>
      <c r="E19" s="29">
        <v>23.3</v>
      </c>
      <c r="F19" s="30">
        <v>203.8</v>
      </c>
      <c r="G19" s="29">
        <v>9.6999999999999993</v>
      </c>
      <c r="H19" s="29">
        <v>16.100000000000001</v>
      </c>
      <c r="I19" s="29">
        <v>25.8</v>
      </c>
      <c r="J19" s="29">
        <v>1.6</v>
      </c>
      <c r="K19" s="30">
        <v>27.400000000000002</v>
      </c>
      <c r="L19" s="30">
        <v>176.4</v>
      </c>
      <c r="M19" s="31"/>
    </row>
    <row r="20" spans="1:13" x14ac:dyDescent="0.2">
      <c r="A20" s="28">
        <v>39600</v>
      </c>
      <c r="B20" s="29">
        <v>128.69999999999999</v>
      </c>
      <c r="C20" s="29">
        <v>42.538164703333301</v>
      </c>
      <c r="D20" s="29">
        <v>171.2381647033333</v>
      </c>
      <c r="E20" s="29">
        <v>23.3</v>
      </c>
      <c r="F20" s="30">
        <v>194.53816470333331</v>
      </c>
      <c r="G20" s="29">
        <v>9.5</v>
      </c>
      <c r="H20" s="29">
        <v>16.7</v>
      </c>
      <c r="I20" s="29">
        <v>26.2</v>
      </c>
      <c r="J20" s="29">
        <v>1.6</v>
      </c>
      <c r="K20" s="30">
        <v>27.8</v>
      </c>
      <c r="L20" s="30">
        <v>166.7381647033333</v>
      </c>
      <c r="M20" s="31"/>
    </row>
    <row r="21" spans="1:13" x14ac:dyDescent="0.2">
      <c r="A21" s="28">
        <v>39630</v>
      </c>
      <c r="B21" s="29">
        <v>133.25277504499999</v>
      </c>
      <c r="C21" s="29">
        <v>43.806421565833404</v>
      </c>
      <c r="D21" s="29">
        <v>177.0591966108334</v>
      </c>
      <c r="E21" s="29">
        <v>23.3</v>
      </c>
      <c r="F21" s="30">
        <v>200.35919661083341</v>
      </c>
      <c r="G21" s="29">
        <v>11.2</v>
      </c>
      <c r="H21" s="29">
        <v>16.600000000000001</v>
      </c>
      <c r="I21" s="29">
        <v>27.8</v>
      </c>
      <c r="J21" s="29">
        <v>1.6</v>
      </c>
      <c r="K21" s="30">
        <v>29.400000000000002</v>
      </c>
      <c r="L21" s="30">
        <v>170.9591966108334</v>
      </c>
      <c r="M21" s="31"/>
    </row>
    <row r="22" spans="1:13" x14ac:dyDescent="0.2">
      <c r="A22" s="28">
        <v>39661</v>
      </c>
      <c r="B22" s="29">
        <v>124.676867215</v>
      </c>
      <c r="C22" s="29">
        <v>41.297834035833397</v>
      </c>
      <c r="D22" s="29">
        <v>165.97470125083339</v>
      </c>
      <c r="E22" s="29">
        <v>23.3</v>
      </c>
      <c r="F22" s="30">
        <v>189.2747012508334</v>
      </c>
      <c r="G22" s="29">
        <v>10</v>
      </c>
      <c r="H22" s="29">
        <v>19.899999999999999</v>
      </c>
      <c r="I22" s="29">
        <v>29.9</v>
      </c>
      <c r="J22" s="29">
        <v>1.6</v>
      </c>
      <c r="K22" s="30">
        <v>31.5</v>
      </c>
      <c r="L22" s="30">
        <v>157.7747012508334</v>
      </c>
      <c r="M22" s="31"/>
    </row>
    <row r="23" spans="1:13" x14ac:dyDescent="0.2">
      <c r="A23" s="28">
        <v>39692</v>
      </c>
      <c r="B23" s="29">
        <v>137.58244551249999</v>
      </c>
      <c r="C23" s="29">
        <v>46.784277528333298</v>
      </c>
      <c r="D23" s="29">
        <v>184.36672304083328</v>
      </c>
      <c r="E23" s="29">
        <v>23.3</v>
      </c>
      <c r="F23" s="30">
        <v>207.66672304083329</v>
      </c>
      <c r="G23" s="29">
        <v>10.6</v>
      </c>
      <c r="H23" s="29">
        <v>14.2</v>
      </c>
      <c r="I23" s="29">
        <v>24.799999999999997</v>
      </c>
      <c r="J23" s="29">
        <v>1.6</v>
      </c>
      <c r="K23" s="30">
        <v>26.4</v>
      </c>
      <c r="L23" s="30">
        <v>181.26672304083328</v>
      </c>
      <c r="M23" s="31"/>
    </row>
    <row r="24" spans="1:13" x14ac:dyDescent="0.2">
      <c r="A24" s="28">
        <v>39722</v>
      </c>
      <c r="B24" s="29">
        <v>126.6987239175</v>
      </c>
      <c r="C24" s="29">
        <v>39.336058924333301</v>
      </c>
      <c r="D24" s="29">
        <v>166.03478284183331</v>
      </c>
      <c r="E24" s="29">
        <v>23.3</v>
      </c>
      <c r="F24" s="30">
        <v>189.33478284183332</v>
      </c>
      <c r="G24" s="29">
        <v>10.4</v>
      </c>
      <c r="H24" s="29">
        <v>13.6</v>
      </c>
      <c r="I24" s="29">
        <v>24</v>
      </c>
      <c r="J24" s="29">
        <v>1.6</v>
      </c>
      <c r="K24" s="30">
        <v>25.6</v>
      </c>
      <c r="L24" s="30">
        <v>163.73478284183332</v>
      </c>
      <c r="M24" s="31"/>
    </row>
    <row r="25" spans="1:13" x14ac:dyDescent="0.2">
      <c r="A25" s="28">
        <v>39753</v>
      </c>
      <c r="B25" s="29">
        <v>110.61100444749999</v>
      </c>
      <c r="C25" s="29">
        <v>24.9402224333334</v>
      </c>
      <c r="D25" s="29">
        <v>135.55122688083338</v>
      </c>
      <c r="E25" s="29">
        <v>23.3</v>
      </c>
      <c r="F25" s="30">
        <v>158.85122688083339</v>
      </c>
      <c r="G25" s="29">
        <v>9.4</v>
      </c>
      <c r="H25" s="29">
        <v>12.9</v>
      </c>
      <c r="I25" s="29">
        <v>22.3</v>
      </c>
      <c r="J25" s="29">
        <v>1.6</v>
      </c>
      <c r="K25" s="30">
        <v>23.900000000000002</v>
      </c>
      <c r="L25" s="30">
        <v>134.95122688083339</v>
      </c>
      <c r="M25" s="31"/>
    </row>
    <row r="26" spans="1:13" x14ac:dyDescent="0.2">
      <c r="A26" s="28">
        <v>39783</v>
      </c>
      <c r="B26" s="29">
        <v>143.5193433</v>
      </c>
      <c r="C26" s="29">
        <v>33.536924130833299</v>
      </c>
      <c r="D26" s="29">
        <v>177.05626743083332</v>
      </c>
      <c r="E26" s="29">
        <v>23.3</v>
      </c>
      <c r="F26" s="30">
        <v>200.35626743083333</v>
      </c>
      <c r="G26" s="29">
        <v>13.2</v>
      </c>
      <c r="H26" s="29">
        <v>12.6</v>
      </c>
      <c r="I26" s="29">
        <v>25.799999999999997</v>
      </c>
      <c r="J26" s="29">
        <v>1.6</v>
      </c>
      <c r="K26" s="30">
        <v>27.4</v>
      </c>
      <c r="L26" s="30">
        <v>172.95626743083332</v>
      </c>
      <c r="M26" s="31"/>
    </row>
    <row r="27" spans="1:13" x14ac:dyDescent="0.2">
      <c r="A27" s="28">
        <v>39814</v>
      </c>
      <c r="B27" s="29">
        <v>109</v>
      </c>
      <c r="C27" s="29">
        <v>25.582992310000002</v>
      </c>
      <c r="D27" s="29">
        <v>134.58299231000001</v>
      </c>
      <c r="E27" s="29">
        <v>30</v>
      </c>
      <c r="F27" s="30">
        <v>164.58299231000001</v>
      </c>
      <c r="G27" s="29">
        <v>8.6500439600000014</v>
      </c>
      <c r="H27" s="29">
        <v>12.276249999999999</v>
      </c>
      <c r="I27" s="29">
        <v>20.926293960000002</v>
      </c>
      <c r="J27" s="29">
        <v>1.6</v>
      </c>
      <c r="K27" s="30">
        <v>22.526293960000004</v>
      </c>
      <c r="L27" s="30">
        <v>142.05669835</v>
      </c>
      <c r="M27" s="31"/>
    </row>
    <row r="28" spans="1:13" x14ac:dyDescent="0.2">
      <c r="A28" s="28">
        <v>39845</v>
      </c>
      <c r="B28" s="29">
        <v>113.3</v>
      </c>
      <c r="C28" s="29">
        <v>19.0349649228</v>
      </c>
      <c r="D28" s="29">
        <v>132.3349649228</v>
      </c>
      <c r="E28" s="29">
        <v>30</v>
      </c>
      <c r="F28" s="30">
        <v>162.3349649228</v>
      </c>
      <c r="G28" s="29">
        <v>6.8468870899999992</v>
      </c>
      <c r="H28" s="29">
        <v>8.6002601245000001</v>
      </c>
      <c r="I28" s="29">
        <v>15.447147214499999</v>
      </c>
      <c r="J28" s="29">
        <v>1.6</v>
      </c>
      <c r="K28" s="30">
        <v>17.047147214500001</v>
      </c>
      <c r="L28" s="30">
        <v>145.2878177083</v>
      </c>
      <c r="M28" s="31"/>
    </row>
    <row r="29" spans="1:13" x14ac:dyDescent="0.2">
      <c r="A29" s="28">
        <v>39873</v>
      </c>
      <c r="B29" s="29">
        <v>126.5</v>
      </c>
      <c r="C29" s="29">
        <v>19.429739912500001</v>
      </c>
      <c r="D29" s="29">
        <v>145.9297399125</v>
      </c>
      <c r="E29" s="29">
        <v>30</v>
      </c>
      <c r="F29" s="30">
        <v>175.9297399125</v>
      </c>
      <c r="G29" s="29">
        <v>7.6</v>
      </c>
      <c r="H29" s="29">
        <v>12.1</v>
      </c>
      <c r="I29" s="29">
        <v>19.7</v>
      </c>
      <c r="J29" s="29">
        <v>1.6</v>
      </c>
      <c r="K29" s="30">
        <v>21.3</v>
      </c>
      <c r="L29" s="30">
        <v>154.62973991249999</v>
      </c>
      <c r="M29" s="31"/>
    </row>
    <row r="30" spans="1:13" x14ac:dyDescent="0.2">
      <c r="A30" s="28">
        <v>39904</v>
      </c>
      <c r="B30" s="29">
        <v>123.6</v>
      </c>
      <c r="C30" s="29">
        <v>18.100000000000001</v>
      </c>
      <c r="D30" s="29">
        <v>141.69999999999999</v>
      </c>
      <c r="E30" s="29">
        <v>30</v>
      </c>
      <c r="F30" s="30">
        <v>171.7</v>
      </c>
      <c r="G30" s="29">
        <v>7.3</v>
      </c>
      <c r="H30" s="29">
        <v>7.7</v>
      </c>
      <c r="I30" s="29">
        <v>15</v>
      </c>
      <c r="J30" s="29">
        <v>1.6</v>
      </c>
      <c r="K30" s="30">
        <v>16.600000000000001</v>
      </c>
      <c r="L30" s="30">
        <v>155.1</v>
      </c>
      <c r="M30" s="31"/>
    </row>
    <row r="31" spans="1:13" x14ac:dyDescent="0.2">
      <c r="A31" s="28">
        <v>39934</v>
      </c>
      <c r="B31" s="29">
        <v>128.6</v>
      </c>
      <c r="C31" s="29">
        <v>17</v>
      </c>
      <c r="D31" s="29">
        <v>145.6</v>
      </c>
      <c r="E31" s="29">
        <v>30</v>
      </c>
      <c r="F31" s="30">
        <v>175.6</v>
      </c>
      <c r="G31" s="29">
        <v>8.4</v>
      </c>
      <c r="H31" s="29">
        <v>7.3</v>
      </c>
      <c r="I31" s="29">
        <v>15.7</v>
      </c>
      <c r="J31" s="29">
        <v>1.6</v>
      </c>
      <c r="K31" s="30">
        <v>17.3</v>
      </c>
      <c r="L31" s="30">
        <v>158.29999999999998</v>
      </c>
      <c r="M31" s="31"/>
    </row>
    <row r="32" spans="1:13" x14ac:dyDescent="0.2">
      <c r="A32" s="28">
        <v>39965</v>
      </c>
      <c r="B32" s="29">
        <v>127.9</v>
      </c>
      <c r="C32" s="29">
        <v>25.9</v>
      </c>
      <c r="D32" s="29">
        <v>153.80000000000001</v>
      </c>
      <c r="E32" s="29">
        <v>30</v>
      </c>
      <c r="F32" s="30">
        <v>183.8</v>
      </c>
      <c r="G32" s="29">
        <v>9.1</v>
      </c>
      <c r="H32" s="29">
        <v>11.1</v>
      </c>
      <c r="I32" s="29">
        <v>20.2</v>
      </c>
      <c r="J32" s="29">
        <v>1.6</v>
      </c>
      <c r="K32" s="30">
        <v>21.8</v>
      </c>
      <c r="L32" s="30">
        <v>162</v>
      </c>
      <c r="M32" s="31"/>
    </row>
    <row r="33" spans="1:13" x14ac:dyDescent="0.2">
      <c r="A33" s="28">
        <v>39995</v>
      </c>
      <c r="B33" s="29">
        <v>128.9</v>
      </c>
      <c r="C33" s="29">
        <v>25</v>
      </c>
      <c r="D33" s="29">
        <v>153.9</v>
      </c>
      <c r="E33" s="29">
        <v>30</v>
      </c>
      <c r="F33" s="30">
        <v>183.9</v>
      </c>
      <c r="G33" s="29">
        <v>11.3</v>
      </c>
      <c r="H33" s="29">
        <v>17.100000000000001</v>
      </c>
      <c r="I33" s="29">
        <v>28.400000000000002</v>
      </c>
      <c r="J33" s="29">
        <v>1.6</v>
      </c>
      <c r="K33" s="30">
        <v>30.000000000000004</v>
      </c>
      <c r="L33" s="30">
        <v>153.9</v>
      </c>
      <c r="M33" s="31"/>
    </row>
    <row r="34" spans="1:13" x14ac:dyDescent="0.2">
      <c r="A34" s="28">
        <v>40026</v>
      </c>
      <c r="B34" s="29">
        <v>128.19999999999999</v>
      </c>
      <c r="C34" s="29">
        <v>23.9</v>
      </c>
      <c r="D34" s="29">
        <v>152.1</v>
      </c>
      <c r="E34" s="29">
        <v>30</v>
      </c>
      <c r="F34" s="30">
        <v>182.1</v>
      </c>
      <c r="G34" s="29">
        <v>9.6999999999999993</v>
      </c>
      <c r="H34" s="29">
        <v>20.2</v>
      </c>
      <c r="I34" s="29">
        <v>29.9</v>
      </c>
      <c r="J34" s="29">
        <v>1.6</v>
      </c>
      <c r="K34" s="30">
        <v>31.5</v>
      </c>
      <c r="L34" s="30">
        <v>150.6</v>
      </c>
      <c r="M34" s="31"/>
    </row>
    <row r="35" spans="1:13" x14ac:dyDescent="0.2">
      <c r="A35" s="28">
        <v>40057</v>
      </c>
      <c r="B35" s="29">
        <v>129.6</v>
      </c>
      <c r="C35" s="29">
        <v>22.8</v>
      </c>
      <c r="D35" s="29">
        <v>152.4</v>
      </c>
      <c r="E35" s="29">
        <v>30</v>
      </c>
      <c r="F35" s="30">
        <v>182.4</v>
      </c>
      <c r="G35" s="29">
        <v>9.1</v>
      </c>
      <c r="H35" s="29">
        <v>10.3</v>
      </c>
      <c r="I35" s="29">
        <v>19.399999999999999</v>
      </c>
      <c r="J35" s="29">
        <v>1.6</v>
      </c>
      <c r="K35" s="30">
        <v>21</v>
      </c>
      <c r="L35" s="30">
        <v>161.4</v>
      </c>
      <c r="M35" s="31"/>
    </row>
    <row r="36" spans="1:13" x14ac:dyDescent="0.2">
      <c r="A36" s="28">
        <v>40087</v>
      </c>
      <c r="B36" s="29">
        <v>136.5</v>
      </c>
      <c r="C36" s="29">
        <v>19.399999999999999</v>
      </c>
      <c r="D36" s="29">
        <v>155.9</v>
      </c>
      <c r="E36" s="29">
        <v>30</v>
      </c>
      <c r="F36" s="30">
        <v>185.9</v>
      </c>
      <c r="G36" s="29">
        <v>9.6</v>
      </c>
      <c r="H36" s="29">
        <v>10</v>
      </c>
      <c r="I36" s="29">
        <v>19.600000000000001</v>
      </c>
      <c r="J36" s="29">
        <v>1.6</v>
      </c>
      <c r="K36" s="30">
        <v>21.200000000000003</v>
      </c>
      <c r="L36" s="30">
        <v>164.7</v>
      </c>
      <c r="M36" s="31"/>
    </row>
    <row r="37" spans="1:13" x14ac:dyDescent="0.2">
      <c r="A37" s="28">
        <v>40118</v>
      </c>
      <c r="B37" s="29">
        <v>119.3</v>
      </c>
      <c r="C37" s="29">
        <v>23.4</v>
      </c>
      <c r="D37" s="29">
        <v>142.69999999999999</v>
      </c>
      <c r="E37" s="29">
        <v>30</v>
      </c>
      <c r="F37" s="30">
        <v>172.7</v>
      </c>
      <c r="G37" s="29">
        <v>8.9</v>
      </c>
      <c r="H37" s="29">
        <v>12</v>
      </c>
      <c r="I37" s="29">
        <v>20.9</v>
      </c>
      <c r="J37" s="29">
        <v>1.6</v>
      </c>
      <c r="K37" s="30">
        <v>22.5</v>
      </c>
      <c r="L37" s="30">
        <v>150.19999999999999</v>
      </c>
      <c r="M37" s="31"/>
    </row>
    <row r="38" spans="1:13" x14ac:dyDescent="0.2">
      <c r="A38" s="28">
        <v>40148</v>
      </c>
      <c r="B38" s="29">
        <v>155.4</v>
      </c>
      <c r="C38" s="29">
        <v>25.5</v>
      </c>
      <c r="D38" s="29">
        <v>180.9</v>
      </c>
      <c r="E38" s="29">
        <v>30</v>
      </c>
      <c r="F38" s="30">
        <v>210.9</v>
      </c>
      <c r="G38" s="29">
        <v>11.6</v>
      </c>
      <c r="H38" s="29">
        <v>12.9</v>
      </c>
      <c r="I38" s="29">
        <v>24.5</v>
      </c>
      <c r="J38" s="29">
        <v>1.6</v>
      </c>
      <c r="K38" s="30">
        <v>26.1</v>
      </c>
      <c r="L38" s="30">
        <v>184.8</v>
      </c>
      <c r="M38" s="31"/>
    </row>
    <row r="39" spans="1:13" x14ac:dyDescent="0.2">
      <c r="A39" s="28">
        <v>40179</v>
      </c>
      <c r="B39" s="29">
        <v>116.2</v>
      </c>
      <c r="C39" s="29">
        <v>19.899999999999999</v>
      </c>
      <c r="D39" s="29">
        <v>136.1</v>
      </c>
      <c r="E39" s="29">
        <v>14.7</v>
      </c>
      <c r="F39" s="30">
        <v>150.79999999999998</v>
      </c>
      <c r="G39" s="29">
        <v>8.4</v>
      </c>
      <c r="H39" s="29">
        <v>6.7</v>
      </c>
      <c r="I39" s="29">
        <v>15.100000000000001</v>
      </c>
      <c r="J39" s="29">
        <v>1.2</v>
      </c>
      <c r="K39" s="30">
        <v>16.3</v>
      </c>
      <c r="L39" s="30">
        <v>134.49999999999997</v>
      </c>
      <c r="M39" s="31"/>
    </row>
    <row r="40" spans="1:13" x14ac:dyDescent="0.2">
      <c r="A40" s="28">
        <v>40210</v>
      </c>
      <c r="B40" s="29">
        <v>122.4</v>
      </c>
      <c r="C40" s="29">
        <v>19.7</v>
      </c>
      <c r="D40" s="29">
        <v>142.1</v>
      </c>
      <c r="E40" s="29">
        <v>14.7</v>
      </c>
      <c r="F40" s="30">
        <v>156.79999999999998</v>
      </c>
      <c r="G40" s="29">
        <v>6.8</v>
      </c>
      <c r="H40" s="29">
        <v>8.1</v>
      </c>
      <c r="I40" s="29">
        <v>14.899999999999999</v>
      </c>
      <c r="J40" s="29">
        <v>1.2</v>
      </c>
      <c r="K40" s="30">
        <v>16.099999999999998</v>
      </c>
      <c r="L40" s="30">
        <v>140.69999999999999</v>
      </c>
      <c r="M40" s="31"/>
    </row>
    <row r="41" spans="1:13" x14ac:dyDescent="0.2">
      <c r="A41" s="28">
        <v>40238</v>
      </c>
      <c r="B41" s="29">
        <v>147.5</v>
      </c>
      <c r="C41" s="29">
        <v>26.6</v>
      </c>
      <c r="D41" s="29">
        <v>174.1</v>
      </c>
      <c r="E41" s="29">
        <v>14.7</v>
      </c>
      <c r="F41" s="30">
        <v>188.79999999999998</v>
      </c>
      <c r="G41" s="29">
        <v>8.6</v>
      </c>
      <c r="H41" s="29">
        <v>12.5</v>
      </c>
      <c r="I41" s="29">
        <v>21.1</v>
      </c>
      <c r="J41" s="29">
        <v>1.2</v>
      </c>
      <c r="K41" s="30">
        <v>22.3</v>
      </c>
      <c r="L41" s="30">
        <v>166.49999999999997</v>
      </c>
      <c r="M41" s="31"/>
    </row>
    <row r="42" spans="1:13" x14ac:dyDescent="0.2">
      <c r="A42" s="28">
        <v>40269</v>
      </c>
      <c r="B42" s="29">
        <v>136.80000000000001</v>
      </c>
      <c r="C42" s="29">
        <v>25.3</v>
      </c>
      <c r="D42" s="29">
        <v>162.10000000000002</v>
      </c>
      <c r="E42" s="29">
        <v>14.7</v>
      </c>
      <c r="F42" s="30">
        <v>176.8</v>
      </c>
      <c r="G42" s="29">
        <v>8</v>
      </c>
      <c r="H42" s="29">
        <v>13</v>
      </c>
      <c r="I42" s="29">
        <v>21</v>
      </c>
      <c r="J42" s="29">
        <v>1.2</v>
      </c>
      <c r="K42" s="30">
        <v>22.2</v>
      </c>
      <c r="L42" s="30">
        <v>154.60000000000002</v>
      </c>
      <c r="M42" s="31"/>
    </row>
    <row r="43" spans="1:13" x14ac:dyDescent="0.2">
      <c r="A43" s="28">
        <v>40299</v>
      </c>
      <c r="B43" s="29">
        <v>132.9</v>
      </c>
      <c r="C43" s="29">
        <v>23.2</v>
      </c>
      <c r="D43" s="29">
        <v>156.1</v>
      </c>
      <c r="E43" s="29">
        <v>14.7</v>
      </c>
      <c r="F43" s="30">
        <v>170.79999999999998</v>
      </c>
      <c r="G43" s="29">
        <v>8.1999999999999993</v>
      </c>
      <c r="H43" s="29">
        <v>13.9</v>
      </c>
      <c r="I43" s="29">
        <v>22.1</v>
      </c>
      <c r="J43" s="29">
        <v>1.2</v>
      </c>
      <c r="K43" s="30">
        <v>23.3</v>
      </c>
      <c r="L43" s="30">
        <v>147.49999999999997</v>
      </c>
      <c r="M43" s="31"/>
    </row>
    <row r="44" spans="1:13" x14ac:dyDescent="0.2">
      <c r="A44" s="28">
        <v>40330</v>
      </c>
      <c r="B44" s="29">
        <v>132.80000000000001</v>
      </c>
      <c r="C44" s="29">
        <v>24.9</v>
      </c>
      <c r="D44" s="29">
        <v>157.70000000000002</v>
      </c>
      <c r="E44" s="29">
        <v>14.7</v>
      </c>
      <c r="F44" s="30">
        <v>172.4</v>
      </c>
      <c r="G44" s="29">
        <v>8.9</v>
      </c>
      <c r="H44" s="29">
        <v>12.8</v>
      </c>
      <c r="I44" s="29">
        <v>21.700000000000003</v>
      </c>
      <c r="J44" s="29">
        <v>1.2</v>
      </c>
      <c r="K44" s="30">
        <v>22.900000000000002</v>
      </c>
      <c r="L44" s="30">
        <v>149.5</v>
      </c>
      <c r="M44" s="31"/>
    </row>
    <row r="45" spans="1:13" x14ac:dyDescent="0.2">
      <c r="A45" s="28">
        <v>40360</v>
      </c>
      <c r="B45" s="29">
        <v>134.9</v>
      </c>
      <c r="C45" s="29">
        <v>24.6</v>
      </c>
      <c r="D45" s="29">
        <v>159.5</v>
      </c>
      <c r="E45" s="29">
        <v>14.7</v>
      </c>
      <c r="F45" s="30">
        <v>174.2</v>
      </c>
      <c r="G45" s="29">
        <v>10.199999999999999</v>
      </c>
      <c r="H45" s="29">
        <v>14.7</v>
      </c>
      <c r="I45" s="29">
        <v>24.9</v>
      </c>
      <c r="J45" s="29">
        <v>1.2</v>
      </c>
      <c r="K45" s="30">
        <v>26.099999999999998</v>
      </c>
      <c r="L45" s="30">
        <v>148.1</v>
      </c>
      <c r="M45" s="31"/>
    </row>
    <row r="46" spans="1:13" x14ac:dyDescent="0.2">
      <c r="A46" s="28">
        <v>40391</v>
      </c>
      <c r="B46" s="29">
        <v>133.6</v>
      </c>
      <c r="C46" s="29">
        <v>23.1</v>
      </c>
      <c r="D46" s="29">
        <v>156.69999999999999</v>
      </c>
      <c r="E46" s="29">
        <v>14.7</v>
      </c>
      <c r="F46" s="30">
        <v>171.39999999999998</v>
      </c>
      <c r="G46" s="29">
        <v>9.4</v>
      </c>
      <c r="H46" s="29">
        <v>13.5</v>
      </c>
      <c r="I46" s="29">
        <v>22.9</v>
      </c>
      <c r="J46" s="29">
        <v>1.2</v>
      </c>
      <c r="K46" s="30">
        <v>24.099999999999998</v>
      </c>
      <c r="L46" s="30">
        <v>147.29999999999998</v>
      </c>
      <c r="M46" s="31"/>
    </row>
    <row r="47" spans="1:13" x14ac:dyDescent="0.2">
      <c r="A47" s="28">
        <v>40422</v>
      </c>
      <c r="B47" s="29">
        <v>132.4</v>
      </c>
      <c r="C47" s="29">
        <v>27.1</v>
      </c>
      <c r="D47" s="29">
        <v>159.5</v>
      </c>
      <c r="E47" s="29">
        <v>14.7</v>
      </c>
      <c r="F47" s="30">
        <v>174.2</v>
      </c>
      <c r="G47" s="29">
        <v>9.1</v>
      </c>
      <c r="H47" s="29">
        <v>11.1</v>
      </c>
      <c r="I47" s="29">
        <v>20.2</v>
      </c>
      <c r="J47" s="29">
        <v>1.2</v>
      </c>
      <c r="K47" s="30">
        <v>21.4</v>
      </c>
      <c r="L47" s="30">
        <v>152.79999999999998</v>
      </c>
      <c r="M47" s="31"/>
    </row>
    <row r="48" spans="1:13" x14ac:dyDescent="0.2">
      <c r="A48" s="28">
        <v>40452</v>
      </c>
      <c r="B48" s="29">
        <v>134.69999999999999</v>
      </c>
      <c r="C48" s="29">
        <v>21.1</v>
      </c>
      <c r="D48" s="29">
        <v>155.79999999999998</v>
      </c>
      <c r="E48" s="29">
        <v>14.7</v>
      </c>
      <c r="F48" s="30">
        <v>170.49999999999997</v>
      </c>
      <c r="G48" s="29">
        <v>9.5</v>
      </c>
      <c r="H48" s="29">
        <v>11.2</v>
      </c>
      <c r="I48" s="29">
        <v>20.7</v>
      </c>
      <c r="J48" s="29">
        <v>1.2</v>
      </c>
      <c r="K48" s="30">
        <v>21.9</v>
      </c>
      <c r="L48" s="30">
        <v>148.59999999999997</v>
      </c>
      <c r="M48" s="31"/>
    </row>
    <row r="49" spans="1:13" x14ac:dyDescent="0.2">
      <c r="A49" s="28">
        <v>40483</v>
      </c>
      <c r="B49" s="29">
        <v>127.3</v>
      </c>
      <c r="C49" s="29">
        <v>22.8</v>
      </c>
      <c r="D49" s="29">
        <v>150.1</v>
      </c>
      <c r="E49" s="29">
        <v>14.7</v>
      </c>
      <c r="F49" s="30">
        <v>164.79999999999998</v>
      </c>
      <c r="G49" s="29">
        <v>8.8931781999999995</v>
      </c>
      <c r="H49" s="29">
        <v>12.000049034000003</v>
      </c>
      <c r="I49" s="29">
        <v>20.893227234000001</v>
      </c>
      <c r="J49" s="29">
        <v>1.1827482230000002</v>
      </c>
      <c r="K49" s="30">
        <v>22.075975457000002</v>
      </c>
      <c r="L49" s="30">
        <v>142.72402454299998</v>
      </c>
      <c r="M49" s="31"/>
    </row>
    <row r="50" spans="1:13" x14ac:dyDescent="0.2">
      <c r="A50" s="28">
        <v>40513</v>
      </c>
      <c r="B50" s="29">
        <v>162.30000000000001</v>
      </c>
      <c r="C50" s="29">
        <v>35.299999999999997</v>
      </c>
      <c r="D50" s="29">
        <v>197.60000000000002</v>
      </c>
      <c r="E50" s="29">
        <v>14.7</v>
      </c>
      <c r="F50" s="30">
        <v>212.3</v>
      </c>
      <c r="G50" s="29">
        <v>11.14397597</v>
      </c>
      <c r="H50" s="29">
        <v>11.76872579529212</v>
      </c>
      <c r="I50" s="29">
        <v>22.91270176529212</v>
      </c>
      <c r="J50" s="29">
        <v>1.1827482230000002</v>
      </c>
      <c r="K50" s="30">
        <v>24.09544998829212</v>
      </c>
      <c r="L50" s="30">
        <v>188.20455001170788</v>
      </c>
      <c r="M50" s="31"/>
    </row>
    <row r="51" spans="1:13" x14ac:dyDescent="0.2">
      <c r="A51" s="28">
        <v>40544</v>
      </c>
      <c r="B51" s="29">
        <v>122.4</v>
      </c>
      <c r="C51" s="29">
        <v>21.7</v>
      </c>
      <c r="D51" s="29">
        <v>144.1</v>
      </c>
      <c r="E51" s="29">
        <v>14.7</v>
      </c>
      <c r="F51" s="30">
        <v>158.79999999999998</v>
      </c>
      <c r="G51" s="29">
        <v>9.1430152999999983</v>
      </c>
      <c r="H51" s="29">
        <v>10.197428982037605</v>
      </c>
      <c r="I51" s="29">
        <v>19.340444282037602</v>
      </c>
      <c r="J51" s="29">
        <v>1.2</v>
      </c>
      <c r="K51" s="30">
        <v>20.540444282037601</v>
      </c>
      <c r="L51" s="30">
        <v>138.25955571796237</v>
      </c>
      <c r="M51" s="31"/>
    </row>
    <row r="52" spans="1:13" x14ac:dyDescent="0.2">
      <c r="A52" s="28">
        <v>40575</v>
      </c>
      <c r="B52" s="29">
        <v>133.30000000000001</v>
      </c>
      <c r="C52" s="29">
        <v>23</v>
      </c>
      <c r="D52" s="29">
        <v>156.30000000000001</v>
      </c>
      <c r="E52" s="29">
        <v>14.7</v>
      </c>
      <c r="F52" s="30">
        <v>171</v>
      </c>
      <c r="G52" s="29">
        <v>8.1322620600000004</v>
      </c>
      <c r="H52" s="29">
        <v>9.4005899829999997</v>
      </c>
      <c r="I52" s="29">
        <v>17.532852042999998</v>
      </c>
      <c r="J52" s="29">
        <v>1.2</v>
      </c>
      <c r="K52" s="30">
        <v>18.732852042999998</v>
      </c>
      <c r="L52" s="30">
        <v>152.26714795699999</v>
      </c>
      <c r="M52" s="31"/>
    </row>
    <row r="53" spans="1:13" x14ac:dyDescent="0.2">
      <c r="A53" s="28">
        <v>40603</v>
      </c>
      <c r="B53" s="29">
        <v>152.4</v>
      </c>
      <c r="C53" s="29">
        <v>26.9</v>
      </c>
      <c r="D53" s="29">
        <v>179.3</v>
      </c>
      <c r="E53" s="29">
        <v>14.7</v>
      </c>
      <c r="F53" s="30">
        <v>194</v>
      </c>
      <c r="G53" s="29">
        <v>9.3347565600000006</v>
      </c>
      <c r="H53" s="29">
        <v>12.183547187965839</v>
      </c>
      <c r="I53" s="29">
        <v>21.518303747965838</v>
      </c>
      <c r="J53" s="29">
        <v>1.2</v>
      </c>
      <c r="K53" s="30">
        <v>22.718303747965837</v>
      </c>
      <c r="L53" s="30">
        <v>171.28169625203415</v>
      </c>
      <c r="M53" s="31"/>
    </row>
    <row r="54" spans="1:13" x14ac:dyDescent="0.2">
      <c r="A54" s="28">
        <v>40634</v>
      </c>
      <c r="B54" s="29">
        <v>148.6</v>
      </c>
      <c r="C54" s="29">
        <v>26.5</v>
      </c>
      <c r="D54" s="29">
        <v>175.1</v>
      </c>
      <c r="E54" s="29">
        <v>14.7</v>
      </c>
      <c r="F54" s="30">
        <v>189.79999999999998</v>
      </c>
      <c r="G54" s="29">
        <v>8.7987082999999995</v>
      </c>
      <c r="H54" s="29">
        <v>14.028416069000007</v>
      </c>
      <c r="I54" s="29">
        <v>22.827124369000007</v>
      </c>
      <c r="J54" s="29">
        <v>1.2</v>
      </c>
      <c r="K54" s="30">
        <v>24.027124369000006</v>
      </c>
      <c r="L54" s="30">
        <v>165.77287563099998</v>
      </c>
      <c r="M54" s="31"/>
    </row>
    <row r="55" spans="1:13" x14ac:dyDescent="0.2">
      <c r="A55" s="28">
        <v>40664</v>
      </c>
      <c r="B55" s="29">
        <v>140.1</v>
      </c>
      <c r="C55" s="29">
        <v>26</v>
      </c>
      <c r="D55" s="29">
        <v>166.1</v>
      </c>
      <c r="E55" s="29">
        <v>14.7</v>
      </c>
      <c r="F55" s="30">
        <v>180.79999999999998</v>
      </c>
      <c r="G55" s="29">
        <v>9.9012454600000002</v>
      </c>
      <c r="H55" s="29">
        <v>13.892059152785631</v>
      </c>
      <c r="I55" s="29">
        <v>23.793304612785633</v>
      </c>
      <c r="J55" s="29">
        <v>1.2</v>
      </c>
      <c r="K55" s="30">
        <v>24.993304612785632</v>
      </c>
      <c r="L55" s="30">
        <v>155.80669538721435</v>
      </c>
      <c r="M55" s="31"/>
    </row>
    <row r="56" spans="1:13" x14ac:dyDescent="0.2">
      <c r="A56" s="28">
        <v>40695</v>
      </c>
      <c r="B56" s="29">
        <v>140.1</v>
      </c>
      <c r="C56" s="29">
        <v>26.3</v>
      </c>
      <c r="D56" s="29">
        <v>166.4</v>
      </c>
      <c r="E56" s="29">
        <v>14.7</v>
      </c>
      <c r="F56" s="30">
        <v>181.1</v>
      </c>
      <c r="G56" s="29">
        <v>10.111679919999998</v>
      </c>
      <c r="H56" s="29">
        <v>11.23799659455001</v>
      </c>
      <c r="I56" s="29">
        <v>21.349676514550008</v>
      </c>
      <c r="J56" s="29">
        <v>1.2</v>
      </c>
      <c r="K56" s="30">
        <v>22.549676514550008</v>
      </c>
      <c r="L56" s="30">
        <v>158.55032348544998</v>
      </c>
      <c r="M56" s="31"/>
    </row>
    <row r="57" spans="1:13" x14ac:dyDescent="0.2">
      <c r="A57" s="28">
        <v>40725</v>
      </c>
      <c r="B57" s="29">
        <v>145.69999999999999</v>
      </c>
      <c r="C57" s="29">
        <v>24.9</v>
      </c>
      <c r="D57" s="29">
        <v>170.6</v>
      </c>
      <c r="E57" s="29">
        <v>14.7</v>
      </c>
      <c r="F57" s="30">
        <v>185.29999999999998</v>
      </c>
      <c r="G57" s="29">
        <v>10.09110186</v>
      </c>
      <c r="H57" s="29">
        <v>10.780193261500003</v>
      </c>
      <c r="I57" s="29">
        <v>20.871295121500005</v>
      </c>
      <c r="J57" s="29">
        <v>1.2</v>
      </c>
      <c r="K57" s="30">
        <v>22.071295121500004</v>
      </c>
      <c r="L57" s="30">
        <v>163.22870487849997</v>
      </c>
      <c r="M57" s="31"/>
    </row>
    <row r="58" spans="1:13" x14ac:dyDescent="0.2">
      <c r="A58" s="28">
        <v>40756</v>
      </c>
      <c r="B58" s="29">
        <v>148.19999999999999</v>
      </c>
      <c r="C58" s="29">
        <v>26.3</v>
      </c>
      <c r="D58" s="29">
        <v>174.5</v>
      </c>
      <c r="E58" s="29">
        <v>14.7</v>
      </c>
      <c r="F58" s="30">
        <v>189.2</v>
      </c>
      <c r="G58" s="29">
        <v>11.24691236</v>
      </c>
      <c r="H58" s="29">
        <v>14.478762083315308</v>
      </c>
      <c r="I58" s="29">
        <v>25.725674443315306</v>
      </c>
      <c r="J58" s="29">
        <v>1.2</v>
      </c>
      <c r="K58" s="30">
        <v>26.925674443315305</v>
      </c>
      <c r="L58" s="30">
        <v>162.27432555668469</v>
      </c>
      <c r="M58" s="31"/>
    </row>
    <row r="59" spans="1:13" x14ac:dyDescent="0.2">
      <c r="A59" s="28">
        <v>40787</v>
      </c>
      <c r="B59" s="29">
        <v>144.5</v>
      </c>
      <c r="C59" s="29">
        <v>26.5</v>
      </c>
      <c r="D59" s="29">
        <v>171</v>
      </c>
      <c r="E59" s="29">
        <v>14.7</v>
      </c>
      <c r="F59" s="30">
        <v>185.7</v>
      </c>
      <c r="G59" s="29">
        <v>9.6203854</v>
      </c>
      <c r="H59" s="29">
        <v>11.917596041000012</v>
      </c>
      <c r="I59" s="29">
        <v>21.537981441000014</v>
      </c>
      <c r="J59" s="29">
        <v>1.2</v>
      </c>
      <c r="K59" s="30">
        <v>22.737981441000013</v>
      </c>
      <c r="L59" s="30">
        <v>162.96201855899997</v>
      </c>
      <c r="M59" s="31"/>
    </row>
    <row r="60" spans="1:13" x14ac:dyDescent="0.2">
      <c r="A60" s="28">
        <v>40817</v>
      </c>
      <c r="B60" s="29">
        <v>142.80000000000001</v>
      </c>
      <c r="C60" s="29">
        <v>22.4</v>
      </c>
      <c r="D60" s="29">
        <v>165.20000000000002</v>
      </c>
      <c r="E60" s="29">
        <v>14.7</v>
      </c>
      <c r="F60" s="30">
        <v>179.9</v>
      </c>
      <c r="G60" s="29">
        <v>10.198626560000001</v>
      </c>
      <c r="H60" s="29">
        <v>10.934090918500006</v>
      </c>
      <c r="I60" s="29">
        <v>21.132717478500005</v>
      </c>
      <c r="J60" s="29">
        <v>1.2</v>
      </c>
      <c r="K60" s="30">
        <v>22.332717478500005</v>
      </c>
      <c r="L60" s="30">
        <v>157.5672825215</v>
      </c>
      <c r="M60" s="31"/>
    </row>
    <row r="61" spans="1:13" x14ac:dyDescent="0.2">
      <c r="A61" s="28">
        <v>40848</v>
      </c>
      <c r="B61" s="29">
        <v>130.1</v>
      </c>
      <c r="C61" s="29">
        <v>23.7</v>
      </c>
      <c r="D61" s="29">
        <v>153.79999999999998</v>
      </c>
      <c r="E61" s="29">
        <v>14.7</v>
      </c>
      <c r="F61" s="30">
        <v>168.49999999999997</v>
      </c>
      <c r="G61" s="29">
        <v>10.13747429</v>
      </c>
      <c r="H61" s="29">
        <v>12.309290320499999</v>
      </c>
      <c r="I61" s="29">
        <v>22.446764610499997</v>
      </c>
      <c r="J61" s="29">
        <v>1.2</v>
      </c>
      <c r="K61" s="30">
        <v>23.646764610499996</v>
      </c>
      <c r="L61" s="30">
        <v>144.85323538949999</v>
      </c>
      <c r="M61" s="31"/>
    </row>
    <row r="62" spans="1:13" x14ac:dyDescent="0.2">
      <c r="A62" s="28">
        <v>40878</v>
      </c>
      <c r="B62" s="29">
        <v>166.7</v>
      </c>
      <c r="C62" s="29">
        <v>35.6</v>
      </c>
      <c r="D62" s="29">
        <v>202.29999999999998</v>
      </c>
      <c r="E62" s="29">
        <v>14.7</v>
      </c>
      <c r="F62" s="30">
        <v>216.99999999999997</v>
      </c>
      <c r="G62" s="29">
        <v>11.14397597</v>
      </c>
      <c r="H62" s="29">
        <v>12.227823990599999</v>
      </c>
      <c r="I62" s="29">
        <v>23.371799960600001</v>
      </c>
      <c r="J62" s="29">
        <v>1.2</v>
      </c>
      <c r="K62" s="30">
        <v>24.5717999606</v>
      </c>
      <c r="L62" s="30">
        <v>192.42820003939997</v>
      </c>
      <c r="M62" s="31"/>
    </row>
    <row r="63" spans="1:13" x14ac:dyDescent="0.2">
      <c r="A63" s="28">
        <v>40909</v>
      </c>
      <c r="B63" s="29">
        <v>126.1</v>
      </c>
      <c r="C63" s="29">
        <v>23.6</v>
      </c>
      <c r="D63" s="29">
        <v>149.69999999999999</v>
      </c>
      <c r="E63" s="29">
        <v>14.7</v>
      </c>
      <c r="F63" s="30">
        <v>164.39999999999998</v>
      </c>
      <c r="G63" s="29">
        <v>9.1224920199999993</v>
      </c>
      <c r="H63" s="29">
        <v>14.322414436126802</v>
      </c>
      <c r="I63" s="29">
        <v>23.444906456126802</v>
      </c>
      <c r="J63" s="29">
        <v>1.2</v>
      </c>
      <c r="K63" s="30">
        <v>24.644906456126801</v>
      </c>
      <c r="L63" s="30">
        <v>139.75509354387319</v>
      </c>
      <c r="M63" s="31"/>
    </row>
    <row r="64" spans="1:13" x14ac:dyDescent="0.2">
      <c r="A64" s="28">
        <v>40940</v>
      </c>
      <c r="B64" s="29">
        <v>142.4</v>
      </c>
      <c r="C64" s="29">
        <v>24.8</v>
      </c>
      <c r="D64" s="29">
        <v>167.20000000000002</v>
      </c>
      <c r="E64" s="29">
        <v>14.7</v>
      </c>
      <c r="F64" s="30">
        <v>181.9</v>
      </c>
      <c r="G64" s="29">
        <v>8.1</v>
      </c>
      <c r="H64" s="29">
        <v>14.2</v>
      </c>
      <c r="I64" s="29">
        <v>22.299999999999997</v>
      </c>
      <c r="J64" s="29">
        <v>1.2</v>
      </c>
      <c r="K64" s="30">
        <v>23.499999999999996</v>
      </c>
      <c r="L64" s="30">
        <v>158.4</v>
      </c>
      <c r="M64" s="31"/>
    </row>
    <row r="65" spans="1:13" x14ac:dyDescent="0.2">
      <c r="A65" s="28">
        <v>40969</v>
      </c>
      <c r="B65" s="29">
        <v>162.5</v>
      </c>
      <c r="C65" s="29">
        <v>25.3</v>
      </c>
      <c r="D65" s="29">
        <v>187.8</v>
      </c>
      <c r="E65" s="29">
        <v>14.7</v>
      </c>
      <c r="F65" s="30">
        <v>202.5</v>
      </c>
      <c r="G65" s="29">
        <v>8.9</v>
      </c>
      <c r="H65" s="29">
        <v>13.4</v>
      </c>
      <c r="I65" s="29">
        <v>22.3</v>
      </c>
      <c r="J65" s="29">
        <v>1.2</v>
      </c>
      <c r="K65" s="30">
        <v>23.5</v>
      </c>
      <c r="L65" s="30">
        <v>179</v>
      </c>
      <c r="M65" s="31"/>
    </row>
    <row r="66" spans="1:13" x14ac:dyDescent="0.2">
      <c r="A66" s="28">
        <v>41000</v>
      </c>
      <c r="B66" s="29">
        <v>153.4</v>
      </c>
      <c r="C66" s="29">
        <v>26.7</v>
      </c>
      <c r="D66" s="29">
        <v>180.1</v>
      </c>
      <c r="E66" s="29">
        <v>14.7</v>
      </c>
      <c r="F66" s="30">
        <v>194.79999999999998</v>
      </c>
      <c r="G66" s="29">
        <v>8.4</v>
      </c>
      <c r="H66" s="29">
        <v>12.9</v>
      </c>
      <c r="I66" s="29">
        <v>21.3</v>
      </c>
      <c r="J66" s="29">
        <v>1.2</v>
      </c>
      <c r="K66" s="30">
        <v>22.5</v>
      </c>
      <c r="L66" s="30">
        <v>172.29999999999998</v>
      </c>
      <c r="M66" s="31"/>
    </row>
    <row r="67" spans="1:13" x14ac:dyDescent="0.2">
      <c r="A67" s="28">
        <v>41030</v>
      </c>
      <c r="B67" s="29">
        <v>141.9</v>
      </c>
      <c r="C67" s="29">
        <v>24.7</v>
      </c>
      <c r="D67" s="29">
        <v>166.6</v>
      </c>
      <c r="E67" s="29">
        <v>14.7</v>
      </c>
      <c r="F67" s="30">
        <v>181.29999999999998</v>
      </c>
      <c r="G67" s="29">
        <v>9.9759661200000007</v>
      </c>
      <c r="H67" s="29">
        <v>14.288177994496088</v>
      </c>
      <c r="I67" s="29">
        <v>24.264144114496091</v>
      </c>
      <c r="J67" s="29">
        <v>1.2</v>
      </c>
      <c r="K67" s="30">
        <v>25.46414411449609</v>
      </c>
      <c r="L67" s="30">
        <v>155.83585588550389</v>
      </c>
      <c r="M67" s="31"/>
    </row>
    <row r="68" spans="1:13" x14ac:dyDescent="0.2">
      <c r="A68" s="28">
        <v>41061</v>
      </c>
      <c r="B68" s="29">
        <v>151.30000000000001</v>
      </c>
      <c r="C68" s="29">
        <v>23.8</v>
      </c>
      <c r="D68" s="29">
        <v>175.10000000000002</v>
      </c>
      <c r="E68" s="29">
        <v>14.7</v>
      </c>
      <c r="F68" s="30">
        <v>189.8</v>
      </c>
      <c r="G68" s="29">
        <v>9.522827460000002</v>
      </c>
      <c r="H68" s="29">
        <v>12.548470692000004</v>
      </c>
      <c r="I68" s="29">
        <v>22.071298152000004</v>
      </c>
      <c r="J68" s="29">
        <v>1.2</v>
      </c>
      <c r="K68" s="30">
        <v>23.271298152000004</v>
      </c>
      <c r="L68" s="30">
        <v>166.528701848</v>
      </c>
      <c r="M68" s="31"/>
    </row>
    <row r="69" spans="1:13" x14ac:dyDescent="0.2">
      <c r="A69" s="28">
        <v>41091</v>
      </c>
      <c r="B69" s="29">
        <v>145</v>
      </c>
      <c r="C69" s="29">
        <v>23.9</v>
      </c>
      <c r="D69" s="29">
        <v>168.9</v>
      </c>
      <c r="E69" s="29">
        <v>14.7</v>
      </c>
      <c r="F69" s="30">
        <v>183.6</v>
      </c>
      <c r="G69" s="29">
        <v>9.9739770500000002</v>
      </c>
      <c r="H69" s="29">
        <v>12.552486220738</v>
      </c>
      <c r="I69" s="29">
        <v>22.526463270737999</v>
      </c>
      <c r="J69" s="29">
        <v>1.2</v>
      </c>
      <c r="K69" s="30">
        <v>23.726463270737998</v>
      </c>
      <c r="L69" s="30">
        <v>159.87353672926199</v>
      </c>
      <c r="M69" s="31"/>
    </row>
    <row r="70" spans="1:13" x14ac:dyDescent="0.2">
      <c r="A70" s="28">
        <v>41122</v>
      </c>
      <c r="B70" s="29">
        <v>146.4</v>
      </c>
      <c r="C70" s="29">
        <v>23.8</v>
      </c>
      <c r="D70" s="29">
        <v>170.20000000000002</v>
      </c>
      <c r="E70" s="29">
        <v>14.7</v>
      </c>
      <c r="F70" s="30">
        <v>184.9</v>
      </c>
      <c r="G70" s="29">
        <v>9.9673141100000002</v>
      </c>
      <c r="H70" s="29">
        <v>12.315057676075456</v>
      </c>
      <c r="I70" s="29">
        <v>22.282371786075458</v>
      </c>
      <c r="J70" s="29">
        <v>1.2</v>
      </c>
      <c r="K70" s="30">
        <v>23.482371786075458</v>
      </c>
      <c r="L70" s="30">
        <v>161.41762821392456</v>
      </c>
      <c r="M70" s="31"/>
    </row>
    <row r="71" spans="1:13" x14ac:dyDescent="0.2">
      <c r="A71" s="28">
        <v>41153</v>
      </c>
      <c r="B71" s="29">
        <v>134.69999999999999</v>
      </c>
      <c r="C71" s="29">
        <v>19.3</v>
      </c>
      <c r="D71" s="29">
        <v>154</v>
      </c>
      <c r="E71" s="29">
        <v>14.7</v>
      </c>
      <c r="F71" s="30">
        <v>168.7</v>
      </c>
      <c r="G71" s="29">
        <v>10</v>
      </c>
      <c r="H71" s="29">
        <v>8.4</v>
      </c>
      <c r="I71" s="29">
        <v>18.399999999999999</v>
      </c>
      <c r="J71" s="29">
        <v>1.2</v>
      </c>
      <c r="K71" s="30">
        <v>19.599999999999998</v>
      </c>
      <c r="L71" s="30">
        <v>149.1</v>
      </c>
      <c r="M71" s="31"/>
    </row>
    <row r="72" spans="1:13" x14ac:dyDescent="0.2">
      <c r="A72" s="28">
        <v>41183</v>
      </c>
      <c r="B72" s="29">
        <v>141.30000000000001</v>
      </c>
      <c r="C72" s="29">
        <v>22.7</v>
      </c>
      <c r="D72" s="29">
        <v>164</v>
      </c>
      <c r="E72" s="29">
        <v>14.7</v>
      </c>
      <c r="F72" s="30">
        <v>178.7</v>
      </c>
      <c r="G72" s="29">
        <v>10</v>
      </c>
      <c r="H72" s="29">
        <v>12.1</v>
      </c>
      <c r="I72" s="29">
        <v>22.1</v>
      </c>
      <c r="J72" s="29">
        <v>1.2</v>
      </c>
      <c r="K72" s="30">
        <v>23.3</v>
      </c>
      <c r="L72" s="30">
        <v>155.39999999999998</v>
      </c>
      <c r="M72" s="31"/>
    </row>
    <row r="73" spans="1:13" x14ac:dyDescent="0.2">
      <c r="A73" s="28">
        <v>41214</v>
      </c>
      <c r="B73" s="29">
        <v>137.1</v>
      </c>
      <c r="C73" s="29">
        <v>20.7</v>
      </c>
      <c r="D73" s="29">
        <v>157.79999999999998</v>
      </c>
      <c r="E73" s="29">
        <v>14.7</v>
      </c>
      <c r="F73" s="30">
        <v>172.49999999999997</v>
      </c>
      <c r="G73" s="29">
        <v>9.5</v>
      </c>
      <c r="H73" s="29">
        <v>12.3</v>
      </c>
      <c r="I73" s="29">
        <v>21.8</v>
      </c>
      <c r="J73" s="29">
        <v>1.2</v>
      </c>
      <c r="K73" s="30">
        <v>23</v>
      </c>
      <c r="L73" s="30">
        <v>149.49999999999997</v>
      </c>
      <c r="M73" s="31"/>
    </row>
    <row r="74" spans="1:13" x14ac:dyDescent="0.2">
      <c r="A74" s="28">
        <v>41244</v>
      </c>
      <c r="B74" s="29">
        <v>170.5</v>
      </c>
      <c r="C74" s="29">
        <v>25.7</v>
      </c>
      <c r="D74" s="29">
        <v>196.2</v>
      </c>
      <c r="E74" s="29">
        <v>14.7</v>
      </c>
      <c r="F74" s="30">
        <v>210.89999999999998</v>
      </c>
      <c r="G74" s="29">
        <v>11.1</v>
      </c>
      <c r="H74" s="29">
        <v>11.8</v>
      </c>
      <c r="I74" s="29">
        <v>22.9</v>
      </c>
      <c r="J74" s="29">
        <v>1.2</v>
      </c>
      <c r="K74" s="30">
        <v>24.099999999999998</v>
      </c>
      <c r="L74" s="30">
        <v>186.79999999999998</v>
      </c>
      <c r="M74" s="31"/>
    </row>
    <row r="75" spans="1:13" x14ac:dyDescent="0.2">
      <c r="A75" s="28">
        <v>41275</v>
      </c>
      <c r="B75" s="29">
        <v>129.273610795</v>
      </c>
      <c r="C75" s="29">
        <v>24.704294161302439</v>
      </c>
      <c r="D75" s="29">
        <v>153.97790495630244</v>
      </c>
      <c r="E75" s="29">
        <v>9.777536526381768</v>
      </c>
      <c r="F75" s="30">
        <v>163.7554414826842</v>
      </c>
      <c r="G75" s="29">
        <v>9.115392550000001</v>
      </c>
      <c r="H75" s="29">
        <v>15.062016147790013</v>
      </c>
      <c r="I75" s="29">
        <v>24.177408697790014</v>
      </c>
      <c r="J75" s="29">
        <v>1.3031166666666667E-2</v>
      </c>
      <c r="K75" s="30">
        <v>24.190439864456682</v>
      </c>
      <c r="L75" s="30">
        <v>139.56500161822751</v>
      </c>
      <c r="M75" s="31"/>
    </row>
    <row r="76" spans="1:13" x14ac:dyDescent="0.2">
      <c r="A76" s="28">
        <v>41306</v>
      </c>
      <c r="B76" s="29">
        <v>132.4531303325</v>
      </c>
      <c r="C76" s="29">
        <v>27.657717884939473</v>
      </c>
      <c r="D76" s="29">
        <v>160.11084821743947</v>
      </c>
      <c r="E76" s="29">
        <v>9.777536526381768</v>
      </c>
      <c r="F76" s="30">
        <v>169.88838474382123</v>
      </c>
      <c r="G76" s="29">
        <v>7.2408453100000001</v>
      </c>
      <c r="H76" s="29">
        <v>12.039065011694005</v>
      </c>
      <c r="I76" s="29">
        <v>19.279910321694004</v>
      </c>
      <c r="J76" s="29">
        <v>1.3031166666666667E-2</v>
      </c>
      <c r="K76" s="30">
        <v>19.292941488360672</v>
      </c>
      <c r="L76" s="30">
        <v>150.59544325546057</v>
      </c>
      <c r="M76" s="31"/>
    </row>
    <row r="77" spans="1:13" x14ac:dyDescent="0.2">
      <c r="A77" s="28">
        <v>41334</v>
      </c>
      <c r="B77" s="29">
        <v>155.10734437749997</v>
      </c>
      <c r="C77" s="29">
        <v>23.308245633808795</v>
      </c>
      <c r="D77" s="29">
        <v>178.41559001130878</v>
      </c>
      <c r="E77" s="29">
        <v>9.777536526381768</v>
      </c>
      <c r="F77" s="30">
        <v>188.19312653769055</v>
      </c>
      <c r="G77" s="29">
        <v>7.4860811999999992</v>
      </c>
      <c r="H77" s="29">
        <v>10.152914885935049</v>
      </c>
      <c r="I77" s="29">
        <v>17.638996085935048</v>
      </c>
      <c r="J77" s="29">
        <v>1.3031166666666667E-2</v>
      </c>
      <c r="K77" s="30">
        <v>17.652027252601716</v>
      </c>
      <c r="L77" s="30">
        <v>170.54109928508882</v>
      </c>
      <c r="M77" s="31"/>
    </row>
    <row r="78" spans="1:13" x14ac:dyDescent="0.2">
      <c r="A78" s="28">
        <v>41365</v>
      </c>
      <c r="B78" s="29">
        <v>148.83900033750001</v>
      </c>
      <c r="C78" s="29">
        <v>31.310640882393926</v>
      </c>
      <c r="D78" s="29">
        <v>180.14964121989394</v>
      </c>
      <c r="E78" s="29">
        <v>10.523436327490693</v>
      </c>
      <c r="F78" s="30">
        <v>190.67307754738462</v>
      </c>
      <c r="G78" s="29">
        <v>7.4273537199999993</v>
      </c>
      <c r="H78" s="29">
        <v>12.826999084062958</v>
      </c>
      <c r="I78" s="29">
        <v>20.254352804062957</v>
      </c>
      <c r="J78" s="29">
        <v>1.3031166666666667E-2</v>
      </c>
      <c r="K78" s="30">
        <v>20.267383970729625</v>
      </c>
      <c r="L78" s="30">
        <v>170.40569357665498</v>
      </c>
      <c r="M78" s="31"/>
    </row>
    <row r="79" spans="1:13" x14ac:dyDescent="0.2">
      <c r="A79" s="28">
        <v>41395</v>
      </c>
      <c r="B79" s="29">
        <v>149.882590075</v>
      </c>
      <c r="C79" s="29">
        <v>31.653634974985977</v>
      </c>
      <c r="D79" s="29">
        <v>181.53622504998597</v>
      </c>
      <c r="E79" s="29">
        <v>10.523436327490693</v>
      </c>
      <c r="F79" s="30">
        <v>192.05966137747666</v>
      </c>
      <c r="G79" s="29">
        <v>8.217890070000001</v>
      </c>
      <c r="H79" s="29">
        <v>11.457507946034236</v>
      </c>
      <c r="I79" s="29">
        <v>19.675398016034237</v>
      </c>
      <c r="J79" s="29">
        <v>1.3031166666666667E-2</v>
      </c>
      <c r="K79" s="30">
        <v>19.688429182700904</v>
      </c>
      <c r="L79" s="30">
        <v>172.37123219477576</v>
      </c>
      <c r="M79" s="31"/>
    </row>
    <row r="80" spans="1:13" x14ac:dyDescent="0.2">
      <c r="A80" s="28">
        <v>41426</v>
      </c>
      <c r="B80" s="29">
        <v>143.35620659000003</v>
      </c>
      <c r="C80" s="29">
        <v>22.672378800588252</v>
      </c>
      <c r="D80" s="29">
        <v>166.02858539058829</v>
      </c>
      <c r="E80" s="29">
        <v>10.523436327490693</v>
      </c>
      <c r="F80" s="30">
        <v>176.55202171807898</v>
      </c>
      <c r="G80" s="29">
        <v>7.8501364599999999</v>
      </c>
      <c r="H80" s="29">
        <v>12.463648138900009</v>
      </c>
      <c r="I80" s="29">
        <v>20.313784598900007</v>
      </c>
      <c r="J80" s="29">
        <v>1.3031166666666667E-2</v>
      </c>
      <c r="K80" s="30">
        <v>20.326815765566675</v>
      </c>
      <c r="L80" s="30">
        <v>156.22520595251231</v>
      </c>
      <c r="M80" s="31"/>
    </row>
    <row r="81" spans="1:13" x14ac:dyDescent="0.2">
      <c r="A81" s="28">
        <v>41456</v>
      </c>
      <c r="B81" s="29">
        <v>148.34375156999999</v>
      </c>
      <c r="C81" s="29">
        <v>22.194387608606299</v>
      </c>
      <c r="D81" s="29">
        <v>170.53813917860629</v>
      </c>
      <c r="E81" s="29">
        <v>11.843685154756743</v>
      </c>
      <c r="F81" s="30">
        <v>182.38182433336303</v>
      </c>
      <c r="G81" s="29">
        <v>9.2646401399999991</v>
      </c>
      <c r="H81" s="29">
        <v>11.652968989606402</v>
      </c>
      <c r="I81" s="29">
        <v>20.917609129606401</v>
      </c>
      <c r="J81" s="29">
        <v>1.3031166666666667E-2</v>
      </c>
      <c r="K81" s="30">
        <v>20.930640296273069</v>
      </c>
      <c r="L81" s="30">
        <v>161.45118403708994</v>
      </c>
      <c r="M81" s="31"/>
    </row>
    <row r="82" spans="1:13" x14ac:dyDescent="0.2">
      <c r="A82" s="28">
        <v>41487</v>
      </c>
      <c r="B82" s="29">
        <v>154.64920348749999</v>
      </c>
      <c r="C82" s="29">
        <v>23.120659892285822</v>
      </c>
      <c r="D82" s="29">
        <v>177.76986337978582</v>
      </c>
      <c r="E82" s="29">
        <v>11.843685154756743</v>
      </c>
      <c r="F82" s="30">
        <v>189.61354853454256</v>
      </c>
      <c r="G82" s="29">
        <v>9.3238425399999993</v>
      </c>
      <c r="H82" s="29">
        <v>12.971109439709055</v>
      </c>
      <c r="I82" s="29">
        <v>22.294951979709055</v>
      </c>
      <c r="J82" s="29">
        <v>1.3031166666666667E-2</v>
      </c>
      <c r="K82" s="30">
        <v>22.307983146375722</v>
      </c>
      <c r="L82" s="30">
        <v>167.30556538816683</v>
      </c>
      <c r="M82" s="31"/>
    </row>
    <row r="83" spans="1:13" x14ac:dyDescent="0.2">
      <c r="A83" s="28">
        <v>41518</v>
      </c>
      <c r="B83" s="29">
        <v>140.22062037249998</v>
      </c>
      <c r="C83" s="29">
        <v>23.152878439138917</v>
      </c>
      <c r="D83" s="29">
        <v>163.37349881163891</v>
      </c>
      <c r="E83" s="29">
        <v>11.843685154756743</v>
      </c>
      <c r="F83" s="30">
        <v>175.21718396639565</v>
      </c>
      <c r="G83" s="29">
        <v>7.9627584400000009</v>
      </c>
      <c r="H83" s="29">
        <v>10.568624493482897</v>
      </c>
      <c r="I83" s="29">
        <v>18.531382933482899</v>
      </c>
      <c r="J83" s="29">
        <v>1.3031166666666667E-2</v>
      </c>
      <c r="K83" s="30">
        <v>18.544414100149567</v>
      </c>
      <c r="L83" s="30">
        <v>156.67276986624609</v>
      </c>
      <c r="M83" s="31"/>
    </row>
    <row r="84" spans="1:13" x14ac:dyDescent="0.2">
      <c r="A84" s="28">
        <v>41548</v>
      </c>
      <c r="B84" s="29">
        <v>146.85501558500002</v>
      </c>
      <c r="C84" s="29">
        <v>23.890109152224998</v>
      </c>
      <c r="D84" s="29">
        <v>170.74512473722501</v>
      </c>
      <c r="E84" s="29">
        <v>13.50588183926093</v>
      </c>
      <c r="F84" s="30">
        <v>184.25100657648593</v>
      </c>
      <c r="G84" s="29">
        <v>9.0334079500000009</v>
      </c>
      <c r="H84" s="29">
        <v>9.4266946211372016</v>
      </c>
      <c r="I84" s="29">
        <v>18.460102571137202</v>
      </c>
      <c r="J84" s="29">
        <v>1.3031166666666667E-2</v>
      </c>
      <c r="K84" s="30">
        <v>18.47313373780387</v>
      </c>
      <c r="L84" s="30">
        <v>165.77787283868207</v>
      </c>
      <c r="M84" s="31"/>
    </row>
    <row r="85" spans="1:13" x14ac:dyDescent="0.2">
      <c r="A85" s="28">
        <v>41579</v>
      </c>
      <c r="B85" s="29">
        <v>142.72878451</v>
      </c>
      <c r="C85" s="29">
        <v>25.065214433645785</v>
      </c>
      <c r="D85" s="29">
        <v>167.79399894364579</v>
      </c>
      <c r="E85" s="29">
        <v>13.50588183926093</v>
      </c>
      <c r="F85" s="30">
        <v>181.29988078290671</v>
      </c>
      <c r="G85" s="29">
        <v>8.70366134</v>
      </c>
      <c r="H85" s="29">
        <v>9.6562741362946536</v>
      </c>
      <c r="I85" s="29">
        <v>18.359935476294652</v>
      </c>
      <c r="J85" s="29">
        <v>1.3031166666666667E-2</v>
      </c>
      <c r="K85" s="30">
        <v>18.37296664296132</v>
      </c>
      <c r="L85" s="30">
        <v>162.92691413994538</v>
      </c>
      <c r="M85" s="31"/>
    </row>
    <row r="86" spans="1:13" x14ac:dyDescent="0.2">
      <c r="A86" s="28">
        <v>41609</v>
      </c>
      <c r="B86" s="29">
        <v>168.85490458000001</v>
      </c>
      <c r="C86" s="29">
        <v>25.644422105944141</v>
      </c>
      <c r="D86" s="29">
        <v>194.49932668594414</v>
      </c>
      <c r="E86" s="29">
        <v>13.50588183926093</v>
      </c>
      <c r="F86" s="30">
        <v>208.00520852520506</v>
      </c>
      <c r="G86" s="29">
        <v>10.112350150000001</v>
      </c>
      <c r="H86" s="29">
        <v>10.503382894911901</v>
      </c>
      <c r="I86" s="29">
        <v>20.615733044911902</v>
      </c>
      <c r="J86" s="29">
        <v>1.3031166666666667E-2</v>
      </c>
      <c r="K86" s="30">
        <v>20.62876421157857</v>
      </c>
      <c r="L86" s="30">
        <v>187.37644431362651</v>
      </c>
      <c r="M86" s="31"/>
    </row>
    <row r="87" spans="1:13" x14ac:dyDescent="0.2">
      <c r="A87" s="28">
        <v>41640</v>
      </c>
      <c r="B87" s="29">
        <v>134.86044612500001</v>
      </c>
      <c r="C87" s="29">
        <v>24.392203735436681</v>
      </c>
      <c r="D87" s="29">
        <v>159.25264986043669</v>
      </c>
      <c r="E87" s="29">
        <v>9.9749984169489387</v>
      </c>
      <c r="F87" s="30">
        <v>169.22764827738564</v>
      </c>
      <c r="G87" s="29">
        <v>8.3674248509000009</v>
      </c>
      <c r="H87" s="29">
        <v>10.906515930559003</v>
      </c>
      <c r="I87" s="29">
        <v>19.273940781459004</v>
      </c>
      <c r="J87" s="29">
        <v>1.3031166666666667E-2</v>
      </c>
      <c r="K87" s="30">
        <v>19.286971948125672</v>
      </c>
      <c r="L87" s="30">
        <v>149.94067632925996</v>
      </c>
      <c r="M87" s="31"/>
    </row>
    <row r="88" spans="1:13" x14ac:dyDescent="0.2">
      <c r="A88" s="28">
        <v>41671</v>
      </c>
      <c r="B88" s="29">
        <v>143.05383373499998</v>
      </c>
      <c r="C88" s="29">
        <v>25.277138839050078</v>
      </c>
      <c r="D88" s="29">
        <v>168.33097257405007</v>
      </c>
      <c r="E88" s="29">
        <v>9.9749984169489387</v>
      </c>
      <c r="F88" s="30">
        <v>178.30597099099901</v>
      </c>
      <c r="G88" s="29">
        <v>6.6773785200000004</v>
      </c>
      <c r="H88" s="29">
        <v>9.858055866356052</v>
      </c>
      <c r="I88" s="29">
        <v>16.535434386356052</v>
      </c>
      <c r="J88" s="29">
        <v>1.3031166666666667E-2</v>
      </c>
      <c r="K88" s="30">
        <v>16.548465553022719</v>
      </c>
      <c r="L88" s="30">
        <v>161.75750543797631</v>
      </c>
      <c r="M88" s="31"/>
    </row>
    <row r="89" spans="1:13" x14ac:dyDescent="0.2">
      <c r="A89" s="28">
        <v>41699</v>
      </c>
      <c r="B89" s="29">
        <v>160.91345089750001</v>
      </c>
      <c r="C89" s="29">
        <v>26.405905192462647</v>
      </c>
      <c r="D89" s="29">
        <v>187.31935608996267</v>
      </c>
      <c r="E89" s="29">
        <v>9.9749984169489387</v>
      </c>
      <c r="F89" s="30">
        <v>197.29435450691162</v>
      </c>
      <c r="G89" s="29">
        <v>6.6116317499999999</v>
      </c>
      <c r="H89" s="29">
        <v>9.8072623386026017</v>
      </c>
      <c r="I89" s="29">
        <v>16.418894088602602</v>
      </c>
      <c r="J89" s="29">
        <v>1.3031166666666667E-2</v>
      </c>
      <c r="K89" s="30">
        <v>16.43192525526927</v>
      </c>
      <c r="L89" s="30">
        <v>180.86242925164234</v>
      </c>
      <c r="M89" s="31"/>
    </row>
    <row r="90" spans="1:13" x14ac:dyDescent="0.2">
      <c r="A90" s="28">
        <v>41730</v>
      </c>
      <c r="B90" s="29">
        <v>154.2209878947809</v>
      </c>
      <c r="C90" s="29">
        <v>26.327007901298302</v>
      </c>
      <c r="D90" s="29">
        <v>180.54799579607919</v>
      </c>
      <c r="E90" s="29">
        <v>10.434325506971332</v>
      </c>
      <c r="F90" s="30">
        <v>190.98232130305053</v>
      </c>
      <c r="G90" s="29">
        <v>7.0522851193974319</v>
      </c>
      <c r="H90" s="29">
        <v>14.071718374140074</v>
      </c>
      <c r="I90" s="29">
        <v>21.124003493537508</v>
      </c>
      <c r="J90" s="29">
        <v>1.3031166666666667E-2</v>
      </c>
      <c r="K90" s="30">
        <v>21.137034660204176</v>
      </c>
      <c r="L90" s="30">
        <v>169.84528664284636</v>
      </c>
      <c r="M90" s="31"/>
    </row>
    <row r="91" spans="1:13" x14ac:dyDescent="0.2">
      <c r="A91" s="28">
        <v>41760</v>
      </c>
      <c r="B91" s="29">
        <v>162.56725104</v>
      </c>
      <c r="C91" s="29">
        <v>26.137707378616284</v>
      </c>
      <c r="D91" s="29">
        <v>188.70495841861629</v>
      </c>
      <c r="E91" s="29">
        <v>10.434325506971332</v>
      </c>
      <c r="F91" s="30">
        <v>199.13928392558762</v>
      </c>
      <c r="G91" s="29">
        <v>8.3010282899999996</v>
      </c>
      <c r="H91" s="29">
        <v>8.8044420913193662</v>
      </c>
      <c r="I91" s="29">
        <v>17.105470381319364</v>
      </c>
      <c r="J91" s="29">
        <v>1.3031166666666667E-2</v>
      </c>
      <c r="K91" s="30">
        <v>17.118501547986032</v>
      </c>
      <c r="L91" s="30">
        <v>182.02078237760159</v>
      </c>
      <c r="M91" s="31"/>
    </row>
    <row r="92" spans="1:13" x14ac:dyDescent="0.2">
      <c r="A92" s="28">
        <v>41791</v>
      </c>
      <c r="B92" s="29">
        <v>149.84032218345698</v>
      </c>
      <c r="C92" s="29">
        <v>18.491123247597436</v>
      </c>
      <c r="D92" s="29">
        <v>168.33144543105442</v>
      </c>
      <c r="E92" s="29">
        <v>10.434325506971332</v>
      </c>
      <c r="F92" s="30">
        <v>178.76577093802575</v>
      </c>
      <c r="G92" s="29">
        <v>7.2169553900000016</v>
      </c>
      <c r="H92" s="29">
        <v>7.5547346191530007</v>
      </c>
      <c r="I92" s="29">
        <v>14.771690009153001</v>
      </c>
      <c r="J92" s="29">
        <v>1.3031166666666667E-2</v>
      </c>
      <c r="K92" s="30">
        <v>14.784721175819667</v>
      </c>
      <c r="L92" s="30">
        <v>163.98104976220608</v>
      </c>
      <c r="M92" s="31"/>
    </row>
    <row r="93" spans="1:13" x14ac:dyDescent="0.2">
      <c r="A93" s="28">
        <v>41821</v>
      </c>
      <c r="B93" s="29">
        <v>155.84820763250002</v>
      </c>
      <c r="C93" s="29">
        <v>27.33753610496861</v>
      </c>
      <c r="D93" s="29">
        <v>183.18574373746864</v>
      </c>
      <c r="E93" s="29">
        <v>12.707250705524737</v>
      </c>
      <c r="F93" s="30">
        <v>195.89299444299337</v>
      </c>
      <c r="G93" s="29">
        <v>8.1442910900000012</v>
      </c>
      <c r="H93" s="29">
        <v>13.975101155000003</v>
      </c>
      <c r="I93" s="29">
        <v>22.119392245000004</v>
      </c>
      <c r="J93" s="29">
        <v>9.8472126666666673E-2</v>
      </c>
      <c r="K93" s="30">
        <v>22.217864371666671</v>
      </c>
      <c r="L93" s="30">
        <v>173.67513007132669</v>
      </c>
      <c r="M93" s="31"/>
    </row>
    <row r="94" spans="1:13" x14ac:dyDescent="0.2">
      <c r="A94" s="28">
        <v>41852</v>
      </c>
      <c r="B94" s="29">
        <v>160.01446673499998</v>
      </c>
      <c r="C94" s="29">
        <v>23.904092396803417</v>
      </c>
      <c r="D94" s="29">
        <v>183.91855913180339</v>
      </c>
      <c r="E94" s="29">
        <v>12.707250705524737</v>
      </c>
      <c r="F94" s="30">
        <v>196.62580983732812</v>
      </c>
      <c r="G94" s="29">
        <v>8.0012567999999984</v>
      </c>
      <c r="H94" s="29">
        <v>12.446444760000004</v>
      </c>
      <c r="I94" s="29">
        <v>20.447701560000002</v>
      </c>
      <c r="J94" s="29">
        <v>9.8472126666666673E-2</v>
      </c>
      <c r="K94" s="30">
        <v>20.54617368666667</v>
      </c>
      <c r="L94" s="30">
        <v>176.07963615066146</v>
      </c>
      <c r="M94" s="31"/>
    </row>
    <row r="95" spans="1:13" x14ac:dyDescent="0.2">
      <c r="A95" s="28">
        <v>41883</v>
      </c>
      <c r="B95" s="29">
        <v>155.17941122292086</v>
      </c>
      <c r="C95" s="29">
        <v>26.852885146442997</v>
      </c>
      <c r="D95" s="29">
        <v>182.03229636936385</v>
      </c>
      <c r="E95" s="29">
        <v>12.707250705524737</v>
      </c>
      <c r="F95" s="30">
        <v>194.73954707488858</v>
      </c>
      <c r="G95" s="29">
        <v>7.5503992199999983</v>
      </c>
      <c r="H95" s="29">
        <v>12.309243989999997</v>
      </c>
      <c r="I95" s="29">
        <v>19.859643209999994</v>
      </c>
      <c r="J95" s="29">
        <v>9.8472126666666673E-2</v>
      </c>
      <c r="K95" s="30">
        <v>19.958115336666662</v>
      </c>
      <c r="L95" s="30">
        <v>174.78143173822193</v>
      </c>
      <c r="M95" s="31"/>
    </row>
    <row r="96" spans="1:13" x14ac:dyDescent="0.2">
      <c r="A96" s="28">
        <v>41913</v>
      </c>
      <c r="B96" s="29">
        <v>154.93540263015151</v>
      </c>
      <c r="C96" s="29">
        <v>24.727276194664451</v>
      </c>
      <c r="D96" s="29">
        <v>179.66267882481597</v>
      </c>
      <c r="E96" s="29">
        <v>13.828759272099624</v>
      </c>
      <c r="F96" s="30">
        <v>193.4914380969156</v>
      </c>
      <c r="G96" s="29">
        <v>7.7182297400000008</v>
      </c>
      <c r="H96" s="29">
        <v>11.652026211165898</v>
      </c>
      <c r="I96" s="29">
        <v>19.370255951165898</v>
      </c>
      <c r="J96" s="29">
        <v>1.3031166666666667E-2</v>
      </c>
      <c r="K96" s="30">
        <v>19.383287117832566</v>
      </c>
      <c r="L96" s="30">
        <v>174.10815097908304</v>
      </c>
      <c r="M96" s="31"/>
    </row>
    <row r="97" spans="1:13" x14ac:dyDescent="0.2">
      <c r="A97" s="28">
        <v>41944</v>
      </c>
      <c r="B97" s="29">
        <v>142.9534656610596</v>
      </c>
      <c r="C97" s="29">
        <v>27.883128736319019</v>
      </c>
      <c r="D97" s="29">
        <v>170.8365943973786</v>
      </c>
      <c r="E97" s="29">
        <v>13.828759272099624</v>
      </c>
      <c r="F97" s="30">
        <v>184.66535366947824</v>
      </c>
      <c r="G97" s="29">
        <v>7.5135122299999999</v>
      </c>
      <c r="H97" s="29">
        <v>11.957985093318454</v>
      </c>
      <c r="I97" s="29">
        <v>19.471497323318452</v>
      </c>
      <c r="J97" s="29">
        <v>1.3031166666666667E-2</v>
      </c>
      <c r="K97" s="30">
        <v>19.48452848998512</v>
      </c>
      <c r="L97" s="30">
        <v>165.18082517949313</v>
      </c>
      <c r="M97" s="31"/>
    </row>
    <row r="98" spans="1:13" x14ac:dyDescent="0.2">
      <c r="A98" s="28">
        <v>41974</v>
      </c>
      <c r="B98" s="29">
        <v>181.46225407251589</v>
      </c>
      <c r="C98" s="29">
        <v>23.453877227511743</v>
      </c>
      <c r="D98" s="29">
        <v>204.91613130002764</v>
      </c>
      <c r="E98" s="29">
        <v>13.828759272099624</v>
      </c>
      <c r="F98" s="30">
        <v>218.74489057212728</v>
      </c>
      <c r="G98" s="29">
        <v>9.1838567199999996</v>
      </c>
      <c r="H98" s="29">
        <v>11.571821069999997</v>
      </c>
      <c r="I98" s="29">
        <v>20.755677789999996</v>
      </c>
      <c r="J98" s="29">
        <v>1.3031166666666667E-2</v>
      </c>
      <c r="K98" s="30">
        <v>20.768708956666664</v>
      </c>
      <c r="L98" s="30">
        <v>197.9761816154606</v>
      </c>
      <c r="M98" s="31"/>
    </row>
    <row r="99" spans="1:13" x14ac:dyDescent="0.2">
      <c r="A99" s="28">
        <v>42005</v>
      </c>
      <c r="B99" s="29">
        <v>139.29994254813832</v>
      </c>
      <c r="C99" s="29">
        <v>26.944212794583663</v>
      </c>
      <c r="D99" s="29">
        <v>166.24415534272197</v>
      </c>
      <c r="E99" s="29">
        <v>10.156882000766212</v>
      </c>
      <c r="F99" s="30">
        <v>176.40103734348818</v>
      </c>
      <c r="G99" s="29">
        <v>7.4217754600000001</v>
      </c>
      <c r="H99" s="29">
        <v>11.45604975008446</v>
      </c>
      <c r="I99" s="29">
        <v>18.87782521008446</v>
      </c>
      <c r="J99" s="29">
        <v>1.3031166666666667E-2</v>
      </c>
      <c r="K99" s="30">
        <v>18.890856376751127</v>
      </c>
      <c r="L99" s="30">
        <v>157.51018096673707</v>
      </c>
      <c r="M99" s="31"/>
    </row>
    <row r="100" spans="1:13" x14ac:dyDescent="0.2">
      <c r="A100" s="28">
        <v>42036</v>
      </c>
      <c r="B100" s="29">
        <v>144.7587040828669</v>
      </c>
      <c r="C100" s="29">
        <v>23.056335644879102</v>
      </c>
      <c r="D100" s="29">
        <v>167.81503972774601</v>
      </c>
      <c r="E100" s="29">
        <v>10.156882000766212</v>
      </c>
      <c r="F100" s="30">
        <v>177.97192172851223</v>
      </c>
      <c r="G100" s="29">
        <v>6.2174000000000005</v>
      </c>
      <c r="H100" s="29">
        <v>12.494888290000004</v>
      </c>
      <c r="I100" s="29">
        <v>18.712288290000004</v>
      </c>
      <c r="J100" s="29">
        <v>1.3031166666666667E-2</v>
      </c>
      <c r="K100" s="30">
        <v>18.725319456666671</v>
      </c>
      <c r="L100" s="30">
        <v>159.24660227184555</v>
      </c>
      <c r="M100" s="31"/>
    </row>
    <row r="101" spans="1:13" x14ac:dyDescent="0.2">
      <c r="A101" s="28">
        <v>42064</v>
      </c>
      <c r="B101" s="29">
        <v>166.35805841643008</v>
      </c>
      <c r="C101" s="29">
        <v>27.682395327264473</v>
      </c>
      <c r="D101" s="29">
        <v>194.04045374369457</v>
      </c>
      <c r="E101" s="29">
        <v>10.156882000766212</v>
      </c>
      <c r="F101" s="30">
        <v>204.19733574446079</v>
      </c>
      <c r="G101" s="29">
        <v>6.9813837755790331</v>
      </c>
      <c r="H101" s="29">
        <v>12.635531010000006</v>
      </c>
      <c r="I101" s="29">
        <v>19.616914785579041</v>
      </c>
      <c r="J101" s="29">
        <v>1.3031166666666667E-2</v>
      </c>
      <c r="K101" s="30">
        <v>19.629945952245709</v>
      </c>
      <c r="L101" s="30">
        <v>184.56738979221507</v>
      </c>
      <c r="M101" s="31"/>
    </row>
    <row r="102" spans="1:13" x14ac:dyDescent="0.2">
      <c r="A102" s="28">
        <v>42095</v>
      </c>
      <c r="B102" s="29">
        <v>160.74563139898038</v>
      </c>
      <c r="C102" s="29">
        <v>26.448868918633416</v>
      </c>
      <c r="D102" s="29">
        <v>187.1945003176138</v>
      </c>
      <c r="E102" s="29">
        <v>10.924531530750864</v>
      </c>
      <c r="F102" s="30">
        <v>198.11903184836467</v>
      </c>
      <c r="G102" s="29">
        <v>6.6205104013979756</v>
      </c>
      <c r="H102" s="29">
        <v>14.300936360140069</v>
      </c>
      <c r="I102" s="29">
        <v>20.921446761538043</v>
      </c>
      <c r="J102" s="29">
        <v>1.3031166666666667E-2</v>
      </c>
      <c r="K102" s="30">
        <v>20.934477928204711</v>
      </c>
      <c r="L102" s="30">
        <v>177.18455392015997</v>
      </c>
      <c r="M102" s="31"/>
    </row>
    <row r="103" spans="1:13" x14ac:dyDescent="0.2">
      <c r="A103" s="28">
        <v>42125</v>
      </c>
      <c r="B103" s="29">
        <v>169.09722255684991</v>
      </c>
      <c r="C103" s="29">
        <v>20.299727266674875</v>
      </c>
      <c r="D103" s="29">
        <v>189.39694982352478</v>
      </c>
      <c r="E103" s="29">
        <v>10.924531530750864</v>
      </c>
      <c r="F103" s="30">
        <v>200.32148135427565</v>
      </c>
      <c r="G103" s="29">
        <v>7.5240999999999998</v>
      </c>
      <c r="H103" s="29">
        <v>6.7590558509139518</v>
      </c>
      <c r="I103" s="29">
        <v>14.283155850913952</v>
      </c>
      <c r="J103" s="29">
        <v>1.3031166666666667E-2</v>
      </c>
      <c r="K103" s="30">
        <v>14.296187017580618</v>
      </c>
      <c r="L103" s="30">
        <v>186.02529433669503</v>
      </c>
      <c r="M103" s="31"/>
    </row>
    <row r="104" spans="1:13" x14ac:dyDescent="0.2">
      <c r="A104" s="28">
        <v>42156</v>
      </c>
      <c r="B104" s="29">
        <v>165.98632619699825</v>
      </c>
      <c r="C104" s="29">
        <v>22.453785847885612</v>
      </c>
      <c r="D104" s="29">
        <v>188.44011204488385</v>
      </c>
      <c r="E104" s="29">
        <v>10.924531530750864</v>
      </c>
      <c r="F104" s="30">
        <v>199.36464357563472</v>
      </c>
      <c r="G104" s="29">
        <v>7.6296999999999997</v>
      </c>
      <c r="H104" s="29">
        <v>7.5547346191530007</v>
      </c>
      <c r="I104" s="29">
        <v>15.184434619153</v>
      </c>
      <c r="J104" s="29">
        <v>1.3031166666666667E-2</v>
      </c>
      <c r="K104" s="30">
        <v>15.197465785819666</v>
      </c>
      <c r="L104" s="30">
        <v>184.16717778981504</v>
      </c>
      <c r="M104" s="31"/>
    </row>
    <row r="105" spans="1:13" x14ac:dyDescent="0.2">
      <c r="A105" s="28">
        <v>42186</v>
      </c>
      <c r="B105" s="29">
        <v>167.08171820999996</v>
      </c>
      <c r="C105" s="29">
        <v>22.954387187160187</v>
      </c>
      <c r="D105" s="29">
        <v>190.03610539716016</v>
      </c>
      <c r="E105" s="29">
        <v>13.422049167541171</v>
      </c>
      <c r="F105" s="30">
        <v>203.45815456470132</v>
      </c>
      <c r="G105" s="29">
        <v>7.82496335</v>
      </c>
      <c r="H105" s="29">
        <v>14.271855384900006</v>
      </c>
      <c r="I105" s="29">
        <v>22.096818734900005</v>
      </c>
      <c r="J105" s="29">
        <v>1.3031166666666667E-2</v>
      </c>
      <c r="K105" s="30">
        <v>22.109849901566673</v>
      </c>
      <c r="L105" s="30">
        <v>181.34830466313466</v>
      </c>
      <c r="M105" s="31"/>
    </row>
    <row r="106" spans="1:13" x14ac:dyDescent="0.2">
      <c r="A106" s="28">
        <v>42217</v>
      </c>
      <c r="B106" s="29">
        <v>162.38628898000002</v>
      </c>
      <c r="C106" s="29">
        <v>23.222467118226174</v>
      </c>
      <c r="D106" s="29">
        <v>185.60875609822619</v>
      </c>
      <c r="E106" s="29">
        <v>13.422049167541171</v>
      </c>
      <c r="F106" s="30">
        <v>199.03080526576736</v>
      </c>
      <c r="G106" s="29">
        <v>8.0733999999999995</v>
      </c>
      <c r="H106" s="29">
        <v>12.918931819800006</v>
      </c>
      <c r="I106" s="29">
        <v>20.992331819800008</v>
      </c>
      <c r="J106" s="29">
        <v>1.3031166666666667E-2</v>
      </c>
      <c r="K106" s="30">
        <v>21.005362986466675</v>
      </c>
      <c r="L106" s="30">
        <v>178.02544227930068</v>
      </c>
      <c r="M106" s="31"/>
    </row>
    <row r="107" spans="1:13" x14ac:dyDescent="0.2">
      <c r="A107" s="28">
        <v>42248</v>
      </c>
      <c r="B107" s="29">
        <v>160.68122701515171</v>
      </c>
      <c r="C107" s="29">
        <v>22.707929005051259</v>
      </c>
      <c r="D107" s="29">
        <v>183.38915602020296</v>
      </c>
      <c r="E107" s="29">
        <v>13.422049167541171</v>
      </c>
      <c r="F107" s="30">
        <v>196.81120518774412</v>
      </c>
      <c r="G107" s="29">
        <v>7.1133000000000006</v>
      </c>
      <c r="H107" s="29">
        <v>12.609834190500008</v>
      </c>
      <c r="I107" s="29">
        <v>19.723134190500009</v>
      </c>
      <c r="J107" s="29">
        <v>1.3031166666666667E-2</v>
      </c>
      <c r="K107" s="30">
        <v>19.736165357166676</v>
      </c>
      <c r="L107" s="30">
        <v>177.07503983057745</v>
      </c>
      <c r="M107" s="31"/>
    </row>
    <row r="108" spans="1:13" x14ac:dyDescent="0.2">
      <c r="A108" s="28">
        <v>42278</v>
      </c>
      <c r="B108" s="29">
        <v>166.73924954489331</v>
      </c>
      <c r="C108" s="29">
        <v>24.91486298924935</v>
      </c>
      <c r="D108" s="29">
        <v>191.65411253414266</v>
      </c>
      <c r="E108" s="29">
        <v>14.753146722353339</v>
      </c>
      <c r="F108" s="30">
        <v>206.40725925649599</v>
      </c>
      <c r="G108" s="29">
        <v>7.5476227599999994</v>
      </c>
      <c r="H108" s="29">
        <v>12.825164620965902</v>
      </c>
      <c r="I108" s="29">
        <v>20.372787380965903</v>
      </c>
      <c r="J108" s="29">
        <v>1.3031166666666667E-2</v>
      </c>
      <c r="K108" s="30">
        <v>20.385818547632571</v>
      </c>
      <c r="L108" s="30">
        <v>186.02144070886342</v>
      </c>
      <c r="M108" s="31"/>
    </row>
    <row r="109" spans="1:13" x14ac:dyDescent="0.2">
      <c r="A109" s="28">
        <v>42309</v>
      </c>
      <c r="B109" s="29">
        <v>145.88197008161183</v>
      </c>
      <c r="C109" s="29">
        <v>25.40169522507291</v>
      </c>
      <c r="D109" s="29">
        <v>171.28366530668472</v>
      </c>
      <c r="E109" s="29">
        <v>14.753146722353339</v>
      </c>
      <c r="F109" s="30">
        <v>186.03681202903806</v>
      </c>
      <c r="G109" s="29">
        <v>7.4783999999999997</v>
      </c>
      <c r="H109" s="29">
        <v>12.164248610318451</v>
      </c>
      <c r="I109" s="29">
        <v>19.642648610318449</v>
      </c>
      <c r="J109" s="29">
        <v>1.3031166666666667E-2</v>
      </c>
      <c r="K109" s="30">
        <v>19.655679776985117</v>
      </c>
      <c r="L109" s="30">
        <v>166.38113225205294</v>
      </c>
      <c r="M109" s="31"/>
    </row>
    <row r="110" spans="1:13" x14ac:dyDescent="0.2">
      <c r="A110" s="28">
        <v>42339</v>
      </c>
      <c r="B110" s="29">
        <v>185.98951786488169</v>
      </c>
      <c r="C110" s="29">
        <v>24.923884323822801</v>
      </c>
      <c r="D110" s="29">
        <v>210.91340218870448</v>
      </c>
      <c r="E110" s="29">
        <v>14.753146722353339</v>
      </c>
      <c r="F110" s="30">
        <v>225.66654891105782</v>
      </c>
      <c r="G110" s="29">
        <v>9.1838567199999996</v>
      </c>
      <c r="H110" s="29">
        <v>13.172664322000001</v>
      </c>
      <c r="I110" s="29">
        <v>22.356521042000001</v>
      </c>
      <c r="J110" s="29">
        <v>1.3031166666666667E-2</v>
      </c>
      <c r="K110" s="30">
        <v>22.369552208666668</v>
      </c>
      <c r="L110" s="30">
        <v>203.29699670239114</v>
      </c>
      <c r="M110" s="31"/>
    </row>
    <row r="111" spans="1:13" x14ac:dyDescent="0.2">
      <c r="A111" s="28">
        <v>42370</v>
      </c>
      <c r="B111" s="29">
        <v>136.74729518200229</v>
      </c>
      <c r="C111" s="29">
        <v>23.543971232552121</v>
      </c>
      <c r="D111" s="29">
        <v>160.2912664145544</v>
      </c>
      <c r="E111" s="29">
        <v>10.183250662531934</v>
      </c>
      <c r="F111" s="30">
        <v>170.47451707708635</v>
      </c>
      <c r="G111" s="29">
        <v>7.3261024999999993</v>
      </c>
      <c r="H111" s="29">
        <v>14.979323120084459</v>
      </c>
      <c r="I111" s="29">
        <v>22.305425620084456</v>
      </c>
      <c r="J111" s="29">
        <v>1.3031166666666667E-2</v>
      </c>
      <c r="K111" s="30">
        <v>22.318456786751124</v>
      </c>
      <c r="L111" s="30">
        <v>148.15606029033523</v>
      </c>
      <c r="M111" s="31"/>
    </row>
    <row r="112" spans="1:13" x14ac:dyDescent="0.2">
      <c r="A112" s="28">
        <v>42401</v>
      </c>
      <c r="B112" s="29">
        <v>151.7871462864924</v>
      </c>
      <c r="C112" s="29">
        <v>28.31453968427008</v>
      </c>
      <c r="D112" s="29">
        <v>180.10168597076247</v>
      </c>
      <c r="E112" s="29">
        <v>10.183250662531934</v>
      </c>
      <c r="F112" s="30">
        <v>190.28493663329442</v>
      </c>
      <c r="G112" s="29">
        <v>6.3858999999999995</v>
      </c>
      <c r="H112" s="29">
        <v>12.651506750000008</v>
      </c>
      <c r="I112" s="29">
        <v>19.037406750000009</v>
      </c>
      <c r="J112" s="29">
        <v>1.3031166666666667E-2</v>
      </c>
      <c r="K112" s="30">
        <v>19.050437916666677</v>
      </c>
      <c r="L112" s="30">
        <v>171.23449871662774</v>
      </c>
      <c r="M112" s="31"/>
    </row>
    <row r="113" spans="1:13" x14ac:dyDescent="0.2">
      <c r="A113" s="28">
        <v>42430</v>
      </c>
      <c r="B113" s="29">
        <v>171.91191132375567</v>
      </c>
      <c r="C113" s="29">
        <v>24.963050191919418</v>
      </c>
      <c r="D113" s="29">
        <v>196.8749615156751</v>
      </c>
      <c r="E113" s="29">
        <v>10.183250662531934</v>
      </c>
      <c r="F113" s="30">
        <v>207.05821217820704</v>
      </c>
      <c r="G113" s="29">
        <v>6.7402898799999997</v>
      </c>
      <c r="H113" s="29">
        <v>13.100697000000009</v>
      </c>
      <c r="I113" s="29">
        <v>19.84098688000001</v>
      </c>
      <c r="J113" s="29">
        <v>1.3031166666666667E-2</v>
      </c>
      <c r="K113" s="30">
        <v>19.854018046666678</v>
      </c>
      <c r="L113" s="30">
        <v>187.20419413154036</v>
      </c>
      <c r="M113" s="31"/>
    </row>
    <row r="114" spans="1:13" x14ac:dyDescent="0.2">
      <c r="A114" s="28">
        <v>42461</v>
      </c>
      <c r="B114" s="29">
        <v>173.77815144819877</v>
      </c>
      <c r="C114" s="29">
        <v>28.92728353212658</v>
      </c>
      <c r="D114" s="29">
        <v>202.70543498032535</v>
      </c>
      <c r="E114" s="29">
        <v>10.959323189139084</v>
      </c>
      <c r="F114" s="30">
        <v>213.66475816946445</v>
      </c>
      <c r="G114" s="29">
        <v>7.1364000000000001</v>
      </c>
      <c r="H114" s="29">
        <v>12.08019653414007</v>
      </c>
      <c r="I114" s="29">
        <v>19.21659653414007</v>
      </c>
      <c r="J114" s="29">
        <v>1.3031166666666667E-2</v>
      </c>
      <c r="K114" s="30">
        <v>19.229627700806738</v>
      </c>
      <c r="L114" s="30">
        <v>194.43513046865772</v>
      </c>
      <c r="M114" s="31"/>
    </row>
    <row r="115" spans="1:13" x14ac:dyDescent="0.2">
      <c r="A115" s="28">
        <v>42491</v>
      </c>
      <c r="B115" s="29">
        <v>166.76483628933082</v>
      </c>
      <c r="C115" s="29">
        <v>27.773454240220023</v>
      </c>
      <c r="D115" s="29">
        <v>194.53829052955084</v>
      </c>
      <c r="E115" s="29">
        <v>10.959323189139084</v>
      </c>
      <c r="F115" s="30">
        <v>205.49761371868993</v>
      </c>
      <c r="G115" s="29">
        <v>7.3559000000000001</v>
      </c>
      <c r="H115" s="29">
        <v>9.4797968493448721</v>
      </c>
      <c r="I115" s="29">
        <v>16.83569684934487</v>
      </c>
      <c r="J115" s="29">
        <v>1.3031166666666667E-2</v>
      </c>
      <c r="K115" s="30">
        <v>16.848728016011538</v>
      </c>
      <c r="L115" s="30">
        <v>188.6488857026784</v>
      </c>
      <c r="M115" s="31"/>
    </row>
    <row r="116" spans="1:13" x14ac:dyDescent="0.2">
      <c r="A116" s="28">
        <v>42522</v>
      </c>
      <c r="B116" s="29">
        <v>164.76111494757996</v>
      </c>
      <c r="C116" s="29">
        <v>25.694162947200873</v>
      </c>
      <c r="D116" s="29">
        <v>190.45527789478083</v>
      </c>
      <c r="E116" s="29">
        <v>10.959323189139084</v>
      </c>
      <c r="F116" s="30">
        <v>201.41460108391993</v>
      </c>
      <c r="G116" s="29">
        <v>7.5656000000000008</v>
      </c>
      <c r="H116" s="29">
        <v>8.1147293841529997</v>
      </c>
      <c r="I116" s="29">
        <v>15.680329384153001</v>
      </c>
      <c r="J116" s="29">
        <v>1.3031166666666667E-2</v>
      </c>
      <c r="K116" s="30">
        <v>15.693360550819667</v>
      </c>
      <c r="L116" s="30">
        <v>185.72124053310026</v>
      </c>
      <c r="M116" s="31"/>
    </row>
    <row r="117" spans="1:13" x14ac:dyDescent="0.2">
      <c r="A117" s="28">
        <v>42552</v>
      </c>
      <c r="B117" s="29">
        <v>167.56699675176222</v>
      </c>
      <c r="C117" s="29">
        <v>27.754601553190835</v>
      </c>
      <c r="D117" s="29">
        <v>195.32159830495306</v>
      </c>
      <c r="E117" s="29">
        <v>13.45570176134985</v>
      </c>
      <c r="F117" s="30">
        <v>208.7773000663029</v>
      </c>
      <c r="G117" s="29">
        <v>7.766700000000001</v>
      </c>
      <c r="H117" s="29">
        <v>13.581403039999998</v>
      </c>
      <c r="I117" s="29">
        <v>21.348103039999998</v>
      </c>
      <c r="J117" s="29">
        <v>1.3031166666666667E-2</v>
      </c>
      <c r="K117" s="30">
        <v>21.361134206666666</v>
      </c>
      <c r="L117" s="30">
        <v>187.41616585963624</v>
      </c>
      <c r="M117" s="31"/>
    </row>
    <row r="118" spans="1:13" x14ac:dyDescent="0.2">
      <c r="A118" s="28">
        <v>42583</v>
      </c>
      <c r="B118" s="29">
        <v>168.56768723273777</v>
      </c>
      <c r="C118" s="29">
        <v>25.509387927039047</v>
      </c>
      <c r="D118" s="29">
        <v>194.07707515977683</v>
      </c>
      <c r="E118" s="29">
        <v>13.45570176134985</v>
      </c>
      <c r="F118" s="30">
        <v>207.53277692112667</v>
      </c>
      <c r="G118" s="29">
        <v>9.1227658500000004</v>
      </c>
      <c r="H118" s="29">
        <v>10.284760600214657</v>
      </c>
      <c r="I118" s="29">
        <v>19.407526450214657</v>
      </c>
      <c r="J118" s="29">
        <v>1.3031166666666667E-2</v>
      </c>
      <c r="K118" s="30">
        <v>19.420557616881325</v>
      </c>
      <c r="L118" s="30">
        <v>188.11221930424534</v>
      </c>
      <c r="M118" s="31"/>
    </row>
    <row r="119" spans="1:13" x14ac:dyDescent="0.2">
      <c r="A119" s="28">
        <v>42614</v>
      </c>
      <c r="B119" s="29">
        <v>169.40886683753854</v>
      </c>
      <c r="C119" s="29">
        <v>24.332015341901936</v>
      </c>
      <c r="D119" s="29">
        <v>193.74088217944046</v>
      </c>
      <c r="E119" s="29">
        <v>13.45570176134985</v>
      </c>
      <c r="F119" s="30">
        <v>207.1965839407903</v>
      </c>
      <c r="G119" s="29">
        <v>8.2092000000000009</v>
      </c>
      <c r="H119" s="29">
        <v>10.813746565500002</v>
      </c>
      <c r="I119" s="29">
        <v>19.022946565500003</v>
      </c>
      <c r="J119" s="29">
        <v>1.3031166666666667E-2</v>
      </c>
      <c r="K119" s="30">
        <v>19.035977732166671</v>
      </c>
      <c r="L119" s="30">
        <v>188.16060620862362</v>
      </c>
      <c r="M119" s="31"/>
    </row>
    <row r="120" spans="1:13" x14ac:dyDescent="0.2">
      <c r="A120" s="28">
        <v>42644</v>
      </c>
      <c r="B120" s="29">
        <v>161.684538302547</v>
      </c>
      <c r="C120" s="29">
        <v>21.33724972662187</v>
      </c>
      <c r="D120" s="29">
        <v>183.02178802916887</v>
      </c>
      <c r="E120" s="29">
        <v>14.78660922093994</v>
      </c>
      <c r="F120" s="30">
        <v>197.80839725010881</v>
      </c>
      <c r="G120" s="29">
        <v>7.6431315800000004</v>
      </c>
      <c r="H120" s="29">
        <v>12.398531831165906</v>
      </c>
      <c r="I120" s="29">
        <v>20.041663411165906</v>
      </c>
      <c r="J120" s="29">
        <v>1.3031166666666667E-2</v>
      </c>
      <c r="K120" s="30">
        <v>20.054694577832574</v>
      </c>
      <c r="L120" s="30">
        <v>177.75370267227623</v>
      </c>
      <c r="M120" s="31"/>
    </row>
    <row r="121" spans="1:13" x14ac:dyDescent="0.2">
      <c r="A121" s="28">
        <v>42675</v>
      </c>
      <c r="B121" s="29">
        <v>152.33949212573771</v>
      </c>
      <c r="C121" s="29">
        <v>25.788017143479983</v>
      </c>
      <c r="D121" s="29">
        <v>178.12750926921768</v>
      </c>
      <c r="E121" s="29">
        <v>14.78660922093994</v>
      </c>
      <c r="F121" s="30">
        <v>192.91411849015762</v>
      </c>
      <c r="G121" s="29">
        <v>8.391827450000001</v>
      </c>
      <c r="H121" s="29">
        <v>14.248009858318452</v>
      </c>
      <c r="I121" s="29">
        <v>22.639837308318455</v>
      </c>
      <c r="J121" s="29">
        <v>1.3031166666666667E-2</v>
      </c>
      <c r="K121" s="30">
        <v>22.652868474985123</v>
      </c>
      <c r="L121" s="30">
        <v>170.26125001517249</v>
      </c>
      <c r="M121" s="31"/>
    </row>
    <row r="122" spans="1:13" x14ac:dyDescent="0.2">
      <c r="A122" s="28">
        <v>42705</v>
      </c>
      <c r="B122" s="29">
        <v>192.99980908159759</v>
      </c>
      <c r="C122" s="29">
        <v>29.26663717130068</v>
      </c>
      <c r="D122" s="29">
        <v>222.26644625289828</v>
      </c>
      <c r="E122" s="29">
        <v>14.78660922093994</v>
      </c>
      <c r="F122" s="30">
        <v>237.05305547383821</v>
      </c>
      <c r="G122" s="29">
        <v>9.26226138</v>
      </c>
      <c r="H122" s="29">
        <v>10.794859168356503</v>
      </c>
      <c r="I122" s="29">
        <v>20.057120548356501</v>
      </c>
      <c r="J122" s="29">
        <v>1.3031166666666667E-2</v>
      </c>
      <c r="K122" s="30">
        <v>20.070151715023169</v>
      </c>
      <c r="L122" s="30">
        <v>216.98290375881504</v>
      </c>
      <c r="M122" s="31"/>
    </row>
    <row r="123" spans="1:13" x14ac:dyDescent="0.2">
      <c r="A123" s="28">
        <v>42736</v>
      </c>
      <c r="B123" s="29">
        <v>143.5408697475259</v>
      </c>
      <c r="C123" s="29">
        <v>25.690868615992652</v>
      </c>
      <c r="D123" s="29">
        <v>169.23173836351856</v>
      </c>
      <c r="E123" s="29">
        <v>10.183250662531934</v>
      </c>
      <c r="F123" s="30">
        <v>179.41498902605051</v>
      </c>
      <c r="G123" s="29">
        <v>7.7873559000000006</v>
      </c>
      <c r="H123" s="29">
        <v>12.187840726875987</v>
      </c>
      <c r="I123" s="29">
        <v>19.975196626875988</v>
      </c>
      <c r="J123" s="29">
        <v>1.3031166666666667E-2</v>
      </c>
      <c r="K123" s="30">
        <v>19.988227793542656</v>
      </c>
      <c r="L123" s="30">
        <v>159.42676123250786</v>
      </c>
      <c r="M123" s="31"/>
    </row>
    <row r="124" spans="1:13" x14ac:dyDescent="0.2">
      <c r="A124" s="28">
        <v>42767</v>
      </c>
      <c r="B124" s="29">
        <v>151.98115332615754</v>
      </c>
      <c r="C124" s="29">
        <v>23.828960911856278</v>
      </c>
      <c r="D124" s="29">
        <v>175.81011423801382</v>
      </c>
      <c r="E124" s="29">
        <v>10.183250662531934</v>
      </c>
      <c r="F124" s="30">
        <v>185.99336490054577</v>
      </c>
      <c r="G124" s="29">
        <v>7.1589</v>
      </c>
      <c r="H124" s="29">
        <v>13.721560550000005</v>
      </c>
      <c r="I124" s="29">
        <v>20.880460550000006</v>
      </c>
      <c r="J124" s="29">
        <v>1.3031166666666667E-2</v>
      </c>
      <c r="K124" s="30">
        <v>20.893491716666674</v>
      </c>
      <c r="L124" s="30">
        <v>165.09987318387908</v>
      </c>
      <c r="M124" s="31"/>
    </row>
    <row r="125" spans="1:13" x14ac:dyDescent="0.2">
      <c r="A125" s="28">
        <v>42795</v>
      </c>
      <c r="B125" s="29">
        <v>179.01906444304333</v>
      </c>
      <c r="C125" s="29">
        <v>27.459119051082144</v>
      </c>
      <c r="D125" s="29">
        <v>206.47818349412549</v>
      </c>
      <c r="E125" s="29">
        <v>10.183250662531934</v>
      </c>
      <c r="F125" s="30">
        <v>216.66143415665744</v>
      </c>
      <c r="G125" s="29">
        <v>7.7930300899999994</v>
      </c>
      <c r="H125" s="29">
        <v>14.766147760000008</v>
      </c>
      <c r="I125" s="29">
        <v>22.559177850000008</v>
      </c>
      <c r="J125" s="29">
        <v>1.3031166666666667E-2</v>
      </c>
      <c r="K125" s="30">
        <v>22.572209016666676</v>
      </c>
      <c r="L125" s="30">
        <v>194.08922513999076</v>
      </c>
      <c r="M125" s="31"/>
    </row>
    <row r="126" spans="1:13" x14ac:dyDescent="0.2">
      <c r="A126" s="28">
        <v>42826</v>
      </c>
      <c r="B126" s="29">
        <v>167.42038076162146</v>
      </c>
      <c r="C126" s="29">
        <v>25.266595569240646</v>
      </c>
      <c r="D126" s="29">
        <v>192.68697633086211</v>
      </c>
      <c r="E126" s="29">
        <v>10.959323189139084</v>
      </c>
      <c r="F126" s="30">
        <v>203.64629952000121</v>
      </c>
      <c r="G126" s="29">
        <v>7.1180217800000003</v>
      </c>
      <c r="H126" s="29">
        <v>7.6890238468500032</v>
      </c>
      <c r="I126" s="29">
        <v>14.807045626850003</v>
      </c>
      <c r="J126" s="29">
        <v>1.3031166666666667E-2</v>
      </c>
      <c r="K126" s="30">
        <v>14.82007679351667</v>
      </c>
      <c r="L126" s="30">
        <v>188.82622272648453</v>
      </c>
      <c r="M126" s="31"/>
    </row>
    <row r="127" spans="1:13" x14ac:dyDescent="0.2">
      <c r="A127" s="28">
        <v>42856</v>
      </c>
      <c r="B127" s="29">
        <v>172.35120356483236</v>
      </c>
      <c r="C127" s="29">
        <v>27.996444021570685</v>
      </c>
      <c r="D127" s="29">
        <v>200.34764758640304</v>
      </c>
      <c r="E127" s="29">
        <v>10.959323189139084</v>
      </c>
      <c r="F127" s="30">
        <v>211.30697077554214</v>
      </c>
      <c r="G127" s="29">
        <v>8.0908905400000002</v>
      </c>
      <c r="H127" s="29">
        <v>10.821810313772662</v>
      </c>
      <c r="I127" s="29">
        <v>18.912700853772662</v>
      </c>
      <c r="J127" s="29">
        <v>1.3031166666666667E-2</v>
      </c>
      <c r="K127" s="30">
        <v>18.92573202043933</v>
      </c>
      <c r="L127" s="30">
        <v>192.3812387551028</v>
      </c>
      <c r="M127" s="31"/>
    </row>
    <row r="128" spans="1:13" x14ac:dyDescent="0.2">
      <c r="A128" s="28">
        <v>42887</v>
      </c>
      <c r="B128" s="29">
        <v>167.08166946086496</v>
      </c>
      <c r="C128" s="29">
        <v>27.957189308144887</v>
      </c>
      <c r="D128" s="29">
        <v>195.03885876900983</v>
      </c>
      <c r="E128" s="29">
        <v>10.959323189139084</v>
      </c>
      <c r="F128" s="30">
        <v>205.9981819581489</v>
      </c>
      <c r="G128" s="29">
        <v>7.5656000000000008</v>
      </c>
      <c r="H128" s="29">
        <v>12.919369770000001</v>
      </c>
      <c r="I128" s="29">
        <v>20.484969770000003</v>
      </c>
      <c r="J128" s="29">
        <v>1.3031166666666667E-2</v>
      </c>
      <c r="K128" s="30">
        <v>20.498000936666671</v>
      </c>
      <c r="L128" s="30">
        <v>185.50018102148223</v>
      </c>
      <c r="M128" s="31"/>
    </row>
    <row r="129" spans="1:13" x14ac:dyDescent="0.2">
      <c r="A129" s="28">
        <v>42917</v>
      </c>
      <c r="B129" s="29">
        <v>169.09459960829048</v>
      </c>
      <c r="C129" s="29">
        <v>23.84046210802784</v>
      </c>
      <c r="D129" s="29">
        <v>192.93506171631833</v>
      </c>
      <c r="E129" s="29">
        <v>13.45570176134985</v>
      </c>
      <c r="F129" s="30">
        <v>206.39076347766817</v>
      </c>
      <c r="G129" s="29">
        <v>7.7185071100000009</v>
      </c>
      <c r="H129" s="29">
        <v>12.019369769999997</v>
      </c>
      <c r="I129" s="29">
        <v>19.737876879999998</v>
      </c>
      <c r="J129" s="29">
        <v>1.3031166666666667E-2</v>
      </c>
      <c r="K129" s="30">
        <v>19.750908046666666</v>
      </c>
      <c r="L129" s="30">
        <v>186.63985543100151</v>
      </c>
      <c r="M129" s="31"/>
    </row>
    <row r="130" spans="1:13" x14ac:dyDescent="0.2">
      <c r="A130" s="28">
        <v>42948</v>
      </c>
      <c r="B130" s="29">
        <v>165.06552065088655</v>
      </c>
      <c r="C130" s="29">
        <v>24.48248850920389</v>
      </c>
      <c r="D130" s="29">
        <v>189.54800916009043</v>
      </c>
      <c r="E130" s="29">
        <v>13.45570176134985</v>
      </c>
      <c r="F130" s="30">
        <v>203.00371092144027</v>
      </c>
      <c r="G130" s="29">
        <v>8.8124668100000001</v>
      </c>
      <c r="H130" s="29">
        <v>13.254669050000002</v>
      </c>
      <c r="I130" s="29">
        <v>22.06713586</v>
      </c>
      <c r="J130" s="29">
        <v>1.3031166666666667E-2</v>
      </c>
      <c r="K130" s="30">
        <v>22.080167026666668</v>
      </c>
      <c r="L130" s="30">
        <v>180.92354389477362</v>
      </c>
      <c r="M130" s="31"/>
    </row>
    <row r="131" spans="1:13" x14ac:dyDescent="0.2">
      <c r="A131" s="28">
        <v>42979</v>
      </c>
      <c r="B131" s="29">
        <v>166.4633239003268</v>
      </c>
      <c r="C131" s="29">
        <v>31.515804317093458</v>
      </c>
      <c r="D131" s="29">
        <v>197.97912821742025</v>
      </c>
      <c r="E131" s="29">
        <v>13.45570176134985</v>
      </c>
      <c r="F131" s="30">
        <v>211.4348299787701</v>
      </c>
      <c r="G131" s="29">
        <v>7.9603434900000005</v>
      </c>
      <c r="H131" s="29">
        <v>12.781614830000008</v>
      </c>
      <c r="I131" s="29">
        <v>20.741958320000009</v>
      </c>
      <c r="J131" s="29">
        <v>1.3031166666666667E-2</v>
      </c>
      <c r="K131" s="30">
        <v>20.754989486666677</v>
      </c>
      <c r="L131" s="30">
        <v>190.67984049210341</v>
      </c>
      <c r="M131" s="31"/>
    </row>
    <row r="132" spans="1:13" x14ac:dyDescent="0.2">
      <c r="A132" s="28">
        <v>43009</v>
      </c>
      <c r="B132" s="29">
        <v>158.03601655556253</v>
      </c>
      <c r="C132" s="29">
        <v>36.850789297977478</v>
      </c>
      <c r="D132" s="29">
        <v>194.88680585354001</v>
      </c>
      <c r="E132" s="29">
        <v>14.78660922093994</v>
      </c>
      <c r="F132" s="30">
        <v>209.67341507447995</v>
      </c>
      <c r="G132" s="29">
        <v>7.6431315800000004</v>
      </c>
      <c r="H132" s="29">
        <v>14.317326890000002</v>
      </c>
      <c r="I132" s="29">
        <v>21.960458470000003</v>
      </c>
      <c r="J132" s="29">
        <v>1.3031166666666667E-2</v>
      </c>
      <c r="K132" s="30">
        <v>21.97348963666667</v>
      </c>
      <c r="L132" s="30">
        <v>187.69992543781328</v>
      </c>
      <c r="M132" s="31"/>
    </row>
    <row r="133" spans="1:13" x14ac:dyDescent="0.2">
      <c r="A133" s="28">
        <v>43040</v>
      </c>
      <c r="B133" s="29">
        <v>147.73547802085707</v>
      </c>
      <c r="C133" s="29">
        <v>26.418554705776032</v>
      </c>
      <c r="D133" s="29">
        <v>174.15403272663309</v>
      </c>
      <c r="E133" s="29">
        <v>14.78660922093994</v>
      </c>
      <c r="F133" s="30">
        <v>188.94064194757303</v>
      </c>
      <c r="G133" s="29">
        <v>8.391827450000001</v>
      </c>
      <c r="H133" s="29">
        <v>14.965213755000006</v>
      </c>
      <c r="I133" s="29">
        <v>23.357041205000009</v>
      </c>
      <c r="J133" s="29">
        <v>1.3031166666666667E-2</v>
      </c>
      <c r="K133" s="30">
        <v>23.370072371666677</v>
      </c>
      <c r="L133" s="30">
        <v>165.57056957590635</v>
      </c>
      <c r="M133" s="31"/>
    </row>
    <row r="134" spans="1:13" x14ac:dyDescent="0.2">
      <c r="A134" s="28">
        <v>43070</v>
      </c>
      <c r="B134" s="29">
        <v>182.37869133913048</v>
      </c>
      <c r="C134" s="29">
        <v>33.796102005045519</v>
      </c>
      <c r="D134" s="29">
        <v>216.17479334417601</v>
      </c>
      <c r="E134" s="29">
        <v>14.78660922093994</v>
      </c>
      <c r="F134" s="30">
        <v>230.96140256511595</v>
      </c>
      <c r="G134" s="29">
        <v>9.26226138</v>
      </c>
      <c r="H134" s="29">
        <v>17.155572750000005</v>
      </c>
      <c r="I134" s="29">
        <v>26.417834130000003</v>
      </c>
      <c r="J134" s="29">
        <v>1.3031166666666667E-2</v>
      </c>
      <c r="K134" s="30">
        <v>26.430865296666671</v>
      </c>
      <c r="L134" s="30">
        <v>204.53053726844928</v>
      </c>
      <c r="M134" s="31"/>
    </row>
    <row r="135" spans="1:13" x14ac:dyDescent="0.2">
      <c r="A135" s="28">
        <v>43101</v>
      </c>
      <c r="B135" s="29">
        <v>143.16274183764065</v>
      </c>
      <c r="C135" s="29">
        <v>22.28817137632652</v>
      </c>
      <c r="D135" s="29">
        <v>165.45091321396717</v>
      </c>
      <c r="E135" s="29">
        <v>10.183250662531934</v>
      </c>
      <c r="F135" s="30">
        <v>175.63416387649912</v>
      </c>
      <c r="G135" s="29">
        <v>8.4656570584954114</v>
      </c>
      <c r="H135" s="29">
        <v>12.155365732276673</v>
      </c>
      <c r="I135" s="29">
        <v>20.621022790772084</v>
      </c>
      <c r="J135" s="29">
        <v>1.3031166666666667E-2</v>
      </c>
      <c r="K135" s="30">
        <v>20.634053957438752</v>
      </c>
      <c r="L135" s="30">
        <v>155.00010991906038</v>
      </c>
      <c r="M135" s="31"/>
    </row>
    <row r="136" spans="1:13" x14ac:dyDescent="0.2">
      <c r="A136" s="28">
        <v>43132</v>
      </c>
      <c r="B136" s="29">
        <v>147.65264434432171</v>
      </c>
      <c r="C136" s="29">
        <v>21.109227191111998</v>
      </c>
      <c r="D136" s="29">
        <v>168.76187153543373</v>
      </c>
      <c r="E136" s="29">
        <v>10.183250662531934</v>
      </c>
      <c r="F136" s="30">
        <v>178.94512219796567</v>
      </c>
      <c r="G136" s="29">
        <v>6.6360487703096007</v>
      </c>
      <c r="H136" s="29">
        <v>10.745453114100004</v>
      </c>
      <c r="I136" s="29">
        <v>17.381501884409605</v>
      </c>
      <c r="J136" s="29">
        <v>1.3031166666666667E-2</v>
      </c>
      <c r="K136" s="30">
        <v>17.394533051076273</v>
      </c>
      <c r="L136" s="30">
        <v>161.55058914688939</v>
      </c>
      <c r="M136" s="31"/>
    </row>
    <row r="137" spans="1:13" x14ac:dyDescent="0.2">
      <c r="A137" s="28">
        <v>43160</v>
      </c>
      <c r="B137" s="29">
        <v>182.39831176327573</v>
      </c>
      <c r="C137" s="29">
        <v>36.608354895173996</v>
      </c>
      <c r="D137" s="29">
        <v>219.00666665844972</v>
      </c>
      <c r="E137" s="29">
        <v>10.183250662531934</v>
      </c>
      <c r="F137" s="30">
        <v>229.18991732098166</v>
      </c>
      <c r="G137" s="29">
        <v>7.2138939300000002</v>
      </c>
      <c r="H137" s="29">
        <v>15.945516053967649</v>
      </c>
      <c r="I137" s="29">
        <v>23.159409983967649</v>
      </c>
      <c r="J137" s="29">
        <v>1.3031166666666667E-2</v>
      </c>
      <c r="K137" s="30">
        <v>23.172441150634317</v>
      </c>
      <c r="L137" s="30">
        <v>206.01747617034735</v>
      </c>
      <c r="M137" s="31"/>
    </row>
    <row r="138" spans="1:13" x14ac:dyDescent="0.2">
      <c r="A138" s="28">
        <v>43191</v>
      </c>
      <c r="B138" s="29">
        <v>164.43705058906988</v>
      </c>
      <c r="C138" s="29">
        <v>19.937654178899496</v>
      </c>
      <c r="D138" s="29">
        <v>184.37470476796938</v>
      </c>
      <c r="E138" s="29">
        <v>10.959323189139084</v>
      </c>
      <c r="F138" s="30">
        <v>195.33402795710845</v>
      </c>
      <c r="G138" s="29">
        <v>7.501218203393007</v>
      </c>
      <c r="H138" s="29">
        <v>6.8025147636525611</v>
      </c>
      <c r="I138" s="29">
        <v>14.303732967045569</v>
      </c>
      <c r="J138" s="29">
        <v>1.3031166666666667E-2</v>
      </c>
      <c r="K138" s="30">
        <v>14.316764133712235</v>
      </c>
      <c r="L138" s="30">
        <v>181.01726382339621</v>
      </c>
      <c r="M138" s="31"/>
    </row>
    <row r="139" spans="1:13" x14ac:dyDescent="0.2">
      <c r="A139" s="28">
        <v>43221</v>
      </c>
      <c r="B139" s="29">
        <v>172.16287010571227</v>
      </c>
      <c r="C139" s="29">
        <v>28.203141545206986</v>
      </c>
      <c r="D139" s="29">
        <v>200.36601165091926</v>
      </c>
      <c r="E139" s="29">
        <v>10.959323189139084</v>
      </c>
      <c r="F139" s="30">
        <v>211.32533484005836</v>
      </c>
      <c r="G139" s="29">
        <v>8.5196479404645871</v>
      </c>
      <c r="H139" s="29">
        <v>13.629080732064734</v>
      </c>
      <c r="I139" s="29">
        <v>22.148728672529323</v>
      </c>
      <c r="J139" s="29">
        <v>1.3031166666666667E-2</v>
      </c>
      <c r="K139" s="30">
        <v>22.161759839195991</v>
      </c>
      <c r="L139" s="30">
        <v>189.16357500086238</v>
      </c>
      <c r="M139" s="31"/>
    </row>
    <row r="140" spans="1:13" x14ac:dyDescent="0.2">
      <c r="A140" s="28">
        <v>43252</v>
      </c>
      <c r="B140" s="29">
        <v>176.53062211325047</v>
      </c>
      <c r="C140" s="29">
        <v>26.147209285084383</v>
      </c>
      <c r="D140" s="29">
        <v>202.67783139833486</v>
      </c>
      <c r="E140" s="29">
        <v>10.959323189139084</v>
      </c>
      <c r="F140" s="30">
        <v>213.63715458747396</v>
      </c>
      <c r="G140" s="29">
        <v>7.8633657761632216</v>
      </c>
      <c r="H140" s="29">
        <v>13.051248020978234</v>
      </c>
      <c r="I140" s="29">
        <v>20.914613797141456</v>
      </c>
      <c r="J140" s="29">
        <v>1.3031166666666667E-2</v>
      </c>
      <c r="K140" s="30">
        <v>20.927644963808124</v>
      </c>
      <c r="L140" s="30">
        <v>192.70950962366584</v>
      </c>
      <c r="M140" s="31"/>
    </row>
    <row r="141" spans="1:13" x14ac:dyDescent="0.2">
      <c r="A141" s="28">
        <v>43282</v>
      </c>
      <c r="B141" s="29">
        <v>168.63549425018672</v>
      </c>
      <c r="C141" s="29">
        <v>32.124169828422303</v>
      </c>
      <c r="D141" s="29">
        <v>200.75966407860903</v>
      </c>
      <c r="E141" s="29">
        <v>13.45570176134985</v>
      </c>
      <c r="F141" s="30">
        <v>214.21536583995888</v>
      </c>
      <c r="G141" s="29">
        <v>8.0182549588137171</v>
      </c>
      <c r="H141" s="29">
        <v>13.96482799445104</v>
      </c>
      <c r="I141" s="29">
        <v>21.983082953264756</v>
      </c>
      <c r="J141" s="29">
        <v>1.3031166666666667E-2</v>
      </c>
      <c r="K141" s="30">
        <v>21.996114119931423</v>
      </c>
      <c r="L141" s="30">
        <v>192.21925172002744</v>
      </c>
      <c r="M141" s="31"/>
    </row>
    <row r="142" spans="1:13" x14ac:dyDescent="0.2">
      <c r="A142" s="28">
        <v>43313</v>
      </c>
      <c r="B142" s="29">
        <v>173.42806220692515</v>
      </c>
      <c r="C142" s="29">
        <v>34.971815822675374</v>
      </c>
      <c r="D142" s="29">
        <v>208.39987802960053</v>
      </c>
      <c r="E142" s="29">
        <v>13.45570176134985</v>
      </c>
      <c r="F142" s="30">
        <v>221.85557979095037</v>
      </c>
      <c r="G142" s="29">
        <v>8.5178653073954411</v>
      </c>
      <c r="H142" s="29">
        <v>13.012258379313208</v>
      </c>
      <c r="I142" s="29">
        <v>21.530123686708649</v>
      </c>
      <c r="J142" s="29">
        <v>1.3031166666666667E-2</v>
      </c>
      <c r="K142" s="30">
        <v>21.543154853375317</v>
      </c>
      <c r="L142" s="30">
        <v>200.31242493757506</v>
      </c>
      <c r="M142" s="31"/>
    </row>
    <row r="143" spans="1:13" x14ac:dyDescent="0.2">
      <c r="A143" s="28">
        <v>43344</v>
      </c>
      <c r="B143" s="29">
        <v>164.24617139501257</v>
      </c>
      <c r="C143" s="29">
        <v>22.761553496529825</v>
      </c>
      <c r="D143" s="29">
        <v>187.00772489154238</v>
      </c>
      <c r="E143" s="29">
        <v>13.45570176134985</v>
      </c>
      <c r="F143" s="30">
        <v>200.46342665289222</v>
      </c>
      <c r="G143" s="29">
        <v>7.3782990639448096</v>
      </c>
      <c r="H143" s="29">
        <v>14.101829231948896</v>
      </c>
      <c r="I143" s="29">
        <v>21.480128295893707</v>
      </c>
      <c r="J143" s="29">
        <v>1.3031166666666667E-2</v>
      </c>
      <c r="K143" s="30">
        <v>21.493159462560374</v>
      </c>
      <c r="L143" s="30">
        <v>178.97026719033184</v>
      </c>
      <c r="M143" s="31"/>
    </row>
    <row r="144" spans="1:13" x14ac:dyDescent="0.2">
      <c r="A144" s="28">
        <v>43374</v>
      </c>
      <c r="B144" s="29">
        <v>166.77637483858672</v>
      </c>
      <c r="C144" s="29">
        <v>34.76347373416391</v>
      </c>
      <c r="D144" s="29">
        <v>201.53984857275063</v>
      </c>
      <c r="E144" s="29">
        <v>14.78660922093994</v>
      </c>
      <c r="F144" s="30">
        <v>216.32645779369057</v>
      </c>
      <c r="G144" s="29">
        <v>8.5824552702166574</v>
      </c>
      <c r="H144" s="29">
        <v>13.027147500000011</v>
      </c>
      <c r="I144" s="29">
        <v>21.609602770216668</v>
      </c>
      <c r="J144" s="29">
        <v>1.3031166666666667E-2</v>
      </c>
      <c r="K144" s="30">
        <v>21.622633936883336</v>
      </c>
      <c r="L144" s="30">
        <v>194.70382385680722</v>
      </c>
      <c r="M144" s="31"/>
    </row>
    <row r="145" spans="1:14" x14ac:dyDescent="0.2">
      <c r="A145" s="28">
        <v>43405</v>
      </c>
      <c r="B145" s="29">
        <v>150.07772734706384</v>
      </c>
      <c r="C145" s="29">
        <v>36.410496116530581</v>
      </c>
      <c r="D145" s="29">
        <v>186.48822346359441</v>
      </c>
      <c r="E145" s="29">
        <v>14.78660922093994</v>
      </c>
      <c r="F145" s="30">
        <v>201.27483268453435</v>
      </c>
      <c r="G145" s="29">
        <v>8.0910858208115215</v>
      </c>
      <c r="H145" s="29">
        <v>13.185858596181587</v>
      </c>
      <c r="I145" s="29">
        <v>21.276944416993111</v>
      </c>
      <c r="J145" s="29">
        <v>1.3031166666666667E-2</v>
      </c>
      <c r="K145" s="30">
        <v>21.289975583659778</v>
      </c>
      <c r="L145" s="30">
        <v>179.98485710087456</v>
      </c>
      <c r="M145" s="31"/>
    </row>
    <row r="146" spans="1:14" x14ac:dyDescent="0.2">
      <c r="A146" s="28">
        <v>43435</v>
      </c>
      <c r="B146" s="29">
        <v>184.79632878213957</v>
      </c>
      <c r="C146" s="29">
        <v>36.200899729084618</v>
      </c>
      <c r="D146" s="29">
        <v>220.99722851122419</v>
      </c>
      <c r="E146" s="29">
        <v>14.78660922093994</v>
      </c>
      <c r="F146" s="30">
        <v>235.78383773216413</v>
      </c>
      <c r="G146" s="29">
        <v>8.8383497475280475</v>
      </c>
      <c r="H146" s="29">
        <v>13.71399785876042</v>
      </c>
      <c r="I146" s="29">
        <v>22.552347606288468</v>
      </c>
      <c r="J146" s="29">
        <v>1.3031166666666667E-2</v>
      </c>
      <c r="K146" s="30">
        <v>22.565378772955135</v>
      </c>
      <c r="L146" s="30">
        <v>213.21845895920899</v>
      </c>
      <c r="M146" s="31"/>
    </row>
    <row r="147" spans="1:14" x14ac:dyDescent="0.2">
      <c r="A147" s="28">
        <v>43466</v>
      </c>
      <c r="B147" s="29">
        <v>140.72084977865791</v>
      </c>
      <c r="C147" s="29">
        <v>25.519857513577886</v>
      </c>
      <c r="D147" s="29">
        <v>166.24070729223578</v>
      </c>
      <c r="E147" s="29">
        <v>10.183250662531934</v>
      </c>
      <c r="F147" s="30">
        <v>176.42395795476773</v>
      </c>
      <c r="G147" s="29">
        <v>8.4276262332323046</v>
      </c>
      <c r="H147" s="29">
        <v>12.211892610150223</v>
      </c>
      <c r="I147" s="29">
        <v>20.639518843382525</v>
      </c>
      <c r="J147" s="29">
        <v>1.3031166666666667E-2</v>
      </c>
      <c r="K147" s="30">
        <v>20.652550010049193</v>
      </c>
      <c r="L147" s="30">
        <v>155.77140794471853</v>
      </c>
      <c r="M147" s="31"/>
    </row>
    <row r="148" spans="1:14" x14ac:dyDescent="0.2">
      <c r="A148" s="28">
        <v>43497</v>
      </c>
      <c r="B148" s="29">
        <v>148.58583952403126</v>
      </c>
      <c r="C148" s="29">
        <v>23.387465694111611</v>
      </c>
      <c r="D148" s="29">
        <v>171.97330521814285</v>
      </c>
      <c r="E148" s="29">
        <v>10.183250662531934</v>
      </c>
      <c r="F148" s="30">
        <v>182.1565558806748</v>
      </c>
      <c r="G148" s="29">
        <v>6.6660591014704202</v>
      </c>
      <c r="H148" s="29">
        <v>13.392081329499005</v>
      </c>
      <c r="I148" s="29">
        <v>20.058140430969424</v>
      </c>
      <c r="J148" s="29">
        <v>1.3031166666666667E-2</v>
      </c>
      <c r="K148" s="30">
        <v>20.071171597636091</v>
      </c>
      <c r="L148" s="30">
        <v>162.08538428303871</v>
      </c>
      <c r="M148" s="31"/>
    </row>
    <row r="149" spans="1:14" x14ac:dyDescent="0.2">
      <c r="A149" s="28">
        <v>43525</v>
      </c>
      <c r="B149" s="29">
        <v>175.47574003744401</v>
      </c>
      <c r="C149" s="29">
        <v>41.597594780609811</v>
      </c>
      <c r="D149" s="29">
        <v>217.07333481805381</v>
      </c>
      <c r="E149" s="29">
        <v>10.183250662531934</v>
      </c>
      <c r="F149" s="30">
        <v>227.25658548058576</v>
      </c>
      <c r="G149" s="29">
        <v>7.13058528554894</v>
      </c>
      <c r="H149" s="29">
        <v>13.47995603149546</v>
      </c>
      <c r="I149" s="29">
        <v>20.610541317044401</v>
      </c>
      <c r="J149" s="29">
        <v>1.3031166666666667E-2</v>
      </c>
      <c r="K149" s="30">
        <v>20.623572483711065</v>
      </c>
      <c r="L149" s="30">
        <v>206.6330129968747</v>
      </c>
      <c r="M149" s="31"/>
    </row>
    <row r="150" spans="1:14" x14ac:dyDescent="0.2">
      <c r="A150" s="28">
        <v>43556</v>
      </c>
      <c r="B150" s="29">
        <v>169.74639636227192</v>
      </c>
      <c r="C150" s="29">
        <v>31.90933757400747</v>
      </c>
      <c r="D150" s="29">
        <v>201.6557339362794</v>
      </c>
      <c r="E150" s="29">
        <v>9.1268127386225668</v>
      </c>
      <c r="F150" s="30">
        <v>210.78254667490197</v>
      </c>
      <c r="G150" s="29">
        <v>7.2467723771027259</v>
      </c>
      <c r="H150" s="29">
        <v>19.325766759894762</v>
      </c>
      <c r="I150" s="29">
        <v>26.572539136997488</v>
      </c>
      <c r="J150" s="29">
        <v>0</v>
      </c>
      <c r="K150" s="30">
        <v>26.572539136997488</v>
      </c>
      <c r="L150" s="30">
        <v>184.21000753790449</v>
      </c>
      <c r="M150" s="31"/>
    </row>
    <row r="151" spans="1:14" x14ac:dyDescent="0.2">
      <c r="A151" s="28">
        <v>43586</v>
      </c>
      <c r="B151" s="29">
        <v>172.28235434906767</v>
      </c>
      <c r="C151" s="29">
        <v>34.965140644877607</v>
      </c>
      <c r="D151" s="29">
        <v>207.24749499394528</v>
      </c>
      <c r="E151" s="29">
        <v>9.1268127386225668</v>
      </c>
      <c r="F151" s="30">
        <v>216.37430773256784</v>
      </c>
      <c r="G151" s="29">
        <v>7.9958054123539117</v>
      </c>
      <c r="H151" s="29">
        <v>16.67810361819275</v>
      </c>
      <c r="I151" s="29">
        <v>24.67390903054666</v>
      </c>
      <c r="J151" s="29">
        <v>0</v>
      </c>
      <c r="K151" s="30">
        <v>24.67390903054666</v>
      </c>
      <c r="L151" s="30">
        <v>191.70039870202118</v>
      </c>
      <c r="M151" s="31"/>
    </row>
    <row r="152" spans="1:14" x14ac:dyDescent="0.2">
      <c r="A152" s="28">
        <v>43617</v>
      </c>
      <c r="B152" s="29">
        <v>162.37768424260963</v>
      </c>
      <c r="C152" s="29">
        <v>31.932267400532261</v>
      </c>
      <c r="D152" s="29">
        <v>194.30995164314189</v>
      </c>
      <c r="E152" s="29">
        <v>9.1268127386225668</v>
      </c>
      <c r="F152" s="30">
        <v>203.43676438176445</v>
      </c>
      <c r="G152" s="29">
        <v>8.0082351543820138</v>
      </c>
      <c r="H152" s="29">
        <v>12.976833279472741</v>
      </c>
      <c r="I152" s="29">
        <v>20.985068433854757</v>
      </c>
      <c r="J152" s="29">
        <v>0</v>
      </c>
      <c r="K152" s="30">
        <v>20.985068433854757</v>
      </c>
      <c r="L152" s="30">
        <v>182.45169594790968</v>
      </c>
      <c r="M152" s="31"/>
    </row>
    <row r="153" spans="1:14" x14ac:dyDescent="0.2">
      <c r="A153" s="28">
        <v>43647</v>
      </c>
      <c r="B153" s="29">
        <v>176.91585833719085</v>
      </c>
      <c r="C153" s="29">
        <v>36.334355860249417</v>
      </c>
      <c r="D153" s="29">
        <v>213.25021419744027</v>
      </c>
      <c r="E153" s="29">
        <v>13.45570176134985</v>
      </c>
      <c r="F153" s="30">
        <v>226.70591595879011</v>
      </c>
      <c r="G153" s="29">
        <v>8.7228137390977096</v>
      </c>
      <c r="H153" s="29">
        <v>13.51945706653572</v>
      </c>
      <c r="I153" s="29">
        <v>22.242270805633432</v>
      </c>
      <c r="J153" s="29">
        <v>1.3031166666666667E-2</v>
      </c>
      <c r="K153" s="30">
        <v>22.255301972300096</v>
      </c>
      <c r="L153" s="30">
        <v>204.45061398649003</v>
      </c>
      <c r="M153" s="31"/>
    </row>
    <row r="154" spans="1:14" x14ac:dyDescent="0.2">
      <c r="A154" s="28">
        <v>43678</v>
      </c>
      <c r="B154" s="29">
        <v>182.67043869418978</v>
      </c>
      <c r="C154" s="29">
        <v>31.020282503233169</v>
      </c>
      <c r="D154" s="29">
        <v>213.69072119742296</v>
      </c>
      <c r="E154" s="29">
        <v>13.45570176134985</v>
      </c>
      <c r="F154" s="30">
        <v>227.1464229587728</v>
      </c>
      <c r="G154" s="29">
        <v>8.6718286360175831</v>
      </c>
      <c r="H154" s="29">
        <v>13.446605367807562</v>
      </c>
      <c r="I154" s="29">
        <v>22.118434003825143</v>
      </c>
      <c r="J154" s="29">
        <v>1.3031166666666667E-2</v>
      </c>
      <c r="K154" s="30">
        <v>22.131465170491811</v>
      </c>
      <c r="L154" s="30">
        <v>205.01495778828098</v>
      </c>
      <c r="M154" s="31"/>
    </row>
    <row r="155" spans="1:14" x14ac:dyDescent="0.2">
      <c r="A155" s="28">
        <v>43709</v>
      </c>
      <c r="B155" s="29">
        <v>163.85192931816448</v>
      </c>
      <c r="C155" s="29">
        <v>29.321419736158624</v>
      </c>
      <c r="D155" s="29">
        <v>193.1733490543231</v>
      </c>
      <c r="E155" s="29">
        <v>13.45570176134985</v>
      </c>
      <c r="F155" s="30">
        <v>206.62905081567294</v>
      </c>
      <c r="G155" s="29">
        <v>7.5896781399999993</v>
      </c>
      <c r="H155" s="29">
        <v>12.722506954891825</v>
      </c>
      <c r="I155" s="29">
        <v>20.312185094891824</v>
      </c>
      <c r="J155" s="29">
        <v>1.3031166666666667E-2</v>
      </c>
      <c r="K155" s="30">
        <v>20.325216261558491</v>
      </c>
      <c r="L155" s="30">
        <v>186.30383455411445</v>
      </c>
      <c r="M155" s="31"/>
    </row>
    <row r="156" spans="1:14" x14ac:dyDescent="0.2">
      <c r="A156" s="28">
        <v>43739</v>
      </c>
      <c r="B156" s="29">
        <v>167.25788062137772</v>
      </c>
      <c r="C156" s="29">
        <v>37.086618759469161</v>
      </c>
      <c r="D156" s="29">
        <v>204.34449938084688</v>
      </c>
      <c r="E156" s="29">
        <v>11.787180670423423</v>
      </c>
      <c r="F156" s="30">
        <v>216.13168005127031</v>
      </c>
      <c r="G156" s="29">
        <v>7.8323310600000005</v>
      </c>
      <c r="H156" s="29">
        <v>12.223583294655141</v>
      </c>
      <c r="I156" s="29">
        <v>20.05591435465514</v>
      </c>
      <c r="J156" s="29">
        <v>0</v>
      </c>
      <c r="K156" s="30">
        <v>20.05591435465514</v>
      </c>
      <c r="L156" s="30">
        <v>196.07576569661518</v>
      </c>
      <c r="M156" s="31"/>
    </row>
    <row r="157" spans="1:14" x14ac:dyDescent="0.2">
      <c r="A157" s="28">
        <v>43770</v>
      </c>
      <c r="B157" s="29">
        <v>163.17198462367756</v>
      </c>
      <c r="C157" s="29">
        <v>36.770533672225298</v>
      </c>
      <c r="D157" s="29">
        <v>199.94251829590286</v>
      </c>
      <c r="E157" s="29">
        <v>11.787180670423423</v>
      </c>
      <c r="F157" s="30">
        <v>211.72969896632628</v>
      </c>
      <c r="G157" s="29">
        <v>7.5551970299999995</v>
      </c>
      <c r="H157" s="29">
        <v>16.686980808286364</v>
      </c>
      <c r="I157" s="29">
        <v>24.242177838286363</v>
      </c>
      <c r="J157" s="29">
        <v>0</v>
      </c>
      <c r="K157" s="30">
        <v>24.242177838286363</v>
      </c>
      <c r="L157" s="30">
        <v>187.48752112803993</v>
      </c>
      <c r="M157" s="31"/>
    </row>
    <row r="158" spans="1:14" x14ac:dyDescent="0.2">
      <c r="A158" s="28">
        <v>43800</v>
      </c>
      <c r="B158" s="29">
        <v>183.58702853366478</v>
      </c>
      <c r="C158" s="29">
        <v>39.079143680134337</v>
      </c>
      <c r="D158" s="29">
        <v>222.66617221379911</v>
      </c>
      <c r="E158" s="29">
        <v>11.787180670423423</v>
      </c>
      <c r="F158" s="30">
        <v>234.45335288422254</v>
      </c>
      <c r="G158" s="29">
        <v>8.248918950000002</v>
      </c>
      <c r="H158" s="29">
        <v>11.945828910000001</v>
      </c>
      <c r="I158" s="29">
        <v>20.194747860000003</v>
      </c>
      <c r="J158" s="29">
        <v>0</v>
      </c>
      <c r="K158" s="30">
        <v>20.194747860000003</v>
      </c>
      <c r="L158" s="30">
        <v>214.25860502422253</v>
      </c>
      <c r="M158" s="31"/>
    </row>
    <row r="159" spans="1:14" x14ac:dyDescent="0.2">
      <c r="A159" s="28">
        <v>43831</v>
      </c>
      <c r="B159" s="29">
        <v>154.77419014922728</v>
      </c>
      <c r="C159" s="29">
        <v>26.743700874241807</v>
      </c>
      <c r="D159" s="29">
        <v>181.51789102346908</v>
      </c>
      <c r="E159" s="29">
        <v>10.183250662531934</v>
      </c>
      <c r="F159" s="30">
        <v>191.70114168600102</v>
      </c>
      <c r="G159" s="29">
        <v>7.3388768400000002</v>
      </c>
      <c r="H159" s="29">
        <v>12.706066352800001</v>
      </c>
      <c r="I159" s="29">
        <v>20.044943192800002</v>
      </c>
      <c r="J159" s="29">
        <v>1.3031166666666667E-2</v>
      </c>
      <c r="K159" s="30">
        <v>20.057974359466666</v>
      </c>
      <c r="L159" s="30">
        <v>171.64316732653435</v>
      </c>
      <c r="M159" s="31"/>
      <c r="N159" s="31"/>
    </row>
    <row r="160" spans="1:14" x14ac:dyDescent="0.2">
      <c r="A160" s="28">
        <v>43862</v>
      </c>
      <c r="B160" s="29">
        <v>156.94925294055801</v>
      </c>
      <c r="C160" s="29">
        <v>28.828513780366507</v>
      </c>
      <c r="D160" s="29">
        <v>185.77776672092452</v>
      </c>
      <c r="E160" s="29">
        <v>10.183250662531934</v>
      </c>
      <c r="F160" s="30">
        <v>195.96101738345646</v>
      </c>
      <c r="G160" s="29">
        <v>6.2074076699999994</v>
      </c>
      <c r="H160" s="29">
        <v>16.727143228627057</v>
      </c>
      <c r="I160" s="29">
        <v>22.934550898627055</v>
      </c>
      <c r="J160" s="29">
        <v>1.3031166666666667E-2</v>
      </c>
      <c r="K160" s="30">
        <v>22.947582065293723</v>
      </c>
      <c r="L160" s="30">
        <v>173.01343531816275</v>
      </c>
      <c r="M160" s="31"/>
      <c r="N160" s="31"/>
    </row>
    <row r="161" spans="1:14" x14ac:dyDescent="0.2">
      <c r="A161" s="28">
        <v>43891</v>
      </c>
      <c r="B161" s="29">
        <v>161.37531874075654</v>
      </c>
      <c r="C161" s="29">
        <v>37.130311311785874</v>
      </c>
      <c r="D161" s="29">
        <v>198.50563005254241</v>
      </c>
      <c r="E161" s="29">
        <v>10.183250662531934</v>
      </c>
      <c r="F161" s="30">
        <v>208.68888071507436</v>
      </c>
      <c r="G161" s="29">
        <v>5.5887374599999999</v>
      </c>
      <c r="H161" s="29">
        <v>13.397252598886437</v>
      </c>
      <c r="I161" s="29">
        <v>18.985990058886436</v>
      </c>
      <c r="J161" s="29">
        <v>1.3031166666666667E-2</v>
      </c>
      <c r="K161" s="30">
        <v>18.999021225553104</v>
      </c>
      <c r="L161" s="30">
        <v>189.68985948952127</v>
      </c>
      <c r="M161" s="31"/>
      <c r="N161" s="31"/>
    </row>
    <row r="162" spans="1:14" x14ac:dyDescent="0.2">
      <c r="A162" s="28">
        <v>43922</v>
      </c>
      <c r="B162" s="29">
        <v>150.62983661330864</v>
      </c>
      <c r="C162" s="29">
        <v>31.168482686359859</v>
      </c>
      <c r="D162" s="29">
        <v>181.79831929966849</v>
      </c>
      <c r="E162" s="29">
        <v>9.1268127386225668</v>
      </c>
      <c r="F162" s="30">
        <v>190.92513203829105</v>
      </c>
      <c r="G162" s="29">
        <v>2.7634986886287467</v>
      </c>
      <c r="H162" s="29">
        <v>19.313577173308857</v>
      </c>
      <c r="I162" s="29">
        <v>22.077075861937605</v>
      </c>
      <c r="J162" s="29">
        <v>0</v>
      </c>
      <c r="K162" s="30">
        <v>22.077075861937605</v>
      </c>
      <c r="L162" s="30">
        <v>168.84805617635345</v>
      </c>
      <c r="M162" s="31"/>
      <c r="N162" s="31"/>
    </row>
    <row r="163" spans="1:14" x14ac:dyDescent="0.2">
      <c r="A163" s="28">
        <v>43952</v>
      </c>
      <c r="B163" s="29">
        <v>212.55335452499997</v>
      </c>
      <c r="C163" s="29">
        <v>27.194336016980262</v>
      </c>
      <c r="D163" s="29">
        <v>239.74769054198023</v>
      </c>
      <c r="E163" s="29">
        <v>9.1268127386225668</v>
      </c>
      <c r="F163" s="30">
        <v>248.8745032806028</v>
      </c>
      <c r="G163" s="29">
        <v>3.1896713899999996</v>
      </c>
      <c r="H163" s="29">
        <v>12.667495798767147</v>
      </c>
      <c r="I163" s="29">
        <v>15.857167188767146</v>
      </c>
      <c r="J163" s="29">
        <v>0</v>
      </c>
      <c r="K163" s="30">
        <v>15.857167188767146</v>
      </c>
      <c r="L163" s="30">
        <v>233.01733609183566</v>
      </c>
      <c r="M163" s="31"/>
      <c r="N163" s="31"/>
    </row>
    <row r="164" spans="1:14" x14ac:dyDescent="0.2">
      <c r="A164" s="28">
        <v>43983</v>
      </c>
      <c r="B164" s="29">
        <v>234.50116542250004</v>
      </c>
      <c r="C164" s="29">
        <v>40.579188315222794</v>
      </c>
      <c r="D164" s="29">
        <v>275.08035373772282</v>
      </c>
      <c r="E164" s="29">
        <v>9.1268127386225668</v>
      </c>
      <c r="F164" s="30">
        <v>284.20716647634538</v>
      </c>
      <c r="G164" s="29">
        <v>4.26342131</v>
      </c>
      <c r="H164" s="29">
        <v>12.509197836312735</v>
      </c>
      <c r="I164" s="29">
        <v>16.772619146312735</v>
      </c>
      <c r="J164" s="29">
        <v>0</v>
      </c>
      <c r="K164" s="30">
        <v>16.772619146312735</v>
      </c>
      <c r="L164" s="30">
        <v>267.43454733003261</v>
      </c>
      <c r="M164" s="31"/>
      <c r="N164" s="31"/>
    </row>
    <row r="165" spans="1:14" x14ac:dyDescent="0.2">
      <c r="A165" s="28">
        <v>44013</v>
      </c>
      <c r="B165" s="29">
        <v>254.01132916879831</v>
      </c>
      <c r="C165" s="29">
        <v>38.630517384167462</v>
      </c>
      <c r="D165" s="29">
        <v>292.64184655296577</v>
      </c>
      <c r="E165" s="29">
        <v>13.45570176134985</v>
      </c>
      <c r="F165" s="30">
        <v>306.09754831431565</v>
      </c>
      <c r="G165" s="29">
        <v>4.7642916266961333</v>
      </c>
      <c r="H165" s="29">
        <v>13.210688383068044</v>
      </c>
      <c r="I165" s="29">
        <v>17.974980009764177</v>
      </c>
      <c r="J165" s="29">
        <v>1.3031166666666667E-2</v>
      </c>
      <c r="K165" s="30">
        <v>17.988011176430845</v>
      </c>
      <c r="L165" s="30">
        <v>288.10953713788479</v>
      </c>
      <c r="M165" s="31"/>
      <c r="N165" s="31"/>
    </row>
    <row r="166" spans="1:14" x14ac:dyDescent="0.2">
      <c r="A166" s="28">
        <v>44044</v>
      </c>
      <c r="B166" s="29">
        <v>241.24921889643622</v>
      </c>
      <c r="C166" s="29">
        <v>38.270395107456736</v>
      </c>
      <c r="D166" s="29">
        <v>279.51961400389297</v>
      </c>
      <c r="E166" s="29">
        <v>13.45570176134985</v>
      </c>
      <c r="F166" s="30">
        <v>292.97531576524284</v>
      </c>
      <c r="G166" s="29">
        <v>4.2285875604251846</v>
      </c>
      <c r="H166" s="29">
        <v>14.450119492896944</v>
      </c>
      <c r="I166" s="29">
        <v>18.678707053322128</v>
      </c>
      <c r="J166" s="29">
        <v>1.3031166666666667E-2</v>
      </c>
      <c r="K166" s="30">
        <v>18.691738219988792</v>
      </c>
      <c r="L166" s="30">
        <v>274.28357754525405</v>
      </c>
      <c r="M166" s="31"/>
      <c r="N166" s="31"/>
    </row>
    <row r="167" spans="1:14" x14ac:dyDescent="0.2">
      <c r="A167" s="28">
        <v>44075</v>
      </c>
      <c r="B167" s="29">
        <v>228.51236502</v>
      </c>
      <c r="C167" s="29">
        <v>31.153698101250754</v>
      </c>
      <c r="D167" s="29">
        <v>259.66606312125077</v>
      </c>
      <c r="E167" s="29">
        <v>13.45570176134985</v>
      </c>
      <c r="F167" s="30">
        <v>273.12176488260064</v>
      </c>
      <c r="G167" s="29">
        <v>4.7418136799999999</v>
      </c>
      <c r="H167" s="29">
        <v>12.910193129468224</v>
      </c>
      <c r="I167" s="29">
        <v>17.652006809468226</v>
      </c>
      <c r="J167" s="29">
        <v>1.3031166666666667E-2</v>
      </c>
      <c r="K167" s="30">
        <v>17.66503797613489</v>
      </c>
      <c r="L167" s="30">
        <v>255.45672690646575</v>
      </c>
      <c r="M167" s="31"/>
      <c r="N167" s="31"/>
    </row>
    <row r="168" spans="1:14" x14ac:dyDescent="0.2">
      <c r="A168" s="28">
        <v>44105</v>
      </c>
      <c r="B168" s="29">
        <v>231.05238756746442</v>
      </c>
      <c r="C168" s="29">
        <v>40.898160297557794</v>
      </c>
      <c r="D168" s="29">
        <v>271.9505478650222</v>
      </c>
      <c r="E168" s="29">
        <v>11.787180670423423</v>
      </c>
      <c r="F168" s="30">
        <v>283.73772853544563</v>
      </c>
      <c r="G168" s="29">
        <v>5.2271427600000004</v>
      </c>
      <c r="H168" s="29">
        <v>14.507196140953438</v>
      </c>
      <c r="I168" s="29">
        <v>19.734338900953439</v>
      </c>
      <c r="J168" s="29">
        <v>0</v>
      </c>
      <c r="K168" s="30">
        <v>19.734338900953439</v>
      </c>
      <c r="L168" s="30">
        <v>264.00338963449218</v>
      </c>
      <c r="M168" s="31"/>
      <c r="N168" s="31"/>
    </row>
    <row r="169" spans="1:14" x14ac:dyDescent="0.2">
      <c r="A169" s="28">
        <v>44136</v>
      </c>
      <c r="B169" s="29">
        <v>201.51661592209155</v>
      </c>
      <c r="C169" s="29">
        <v>35.903531111719467</v>
      </c>
      <c r="D169" s="29">
        <v>237.42014703381102</v>
      </c>
      <c r="E169" s="29">
        <v>11.787180670423423</v>
      </c>
      <c r="F169" s="30">
        <v>249.20732770423444</v>
      </c>
      <c r="G169" s="29">
        <v>4.9670440999999999</v>
      </c>
      <c r="H169" s="29">
        <v>11.52899205573611</v>
      </c>
      <c r="I169" s="29">
        <v>16.49603615573611</v>
      </c>
      <c r="J169" s="29">
        <v>0</v>
      </c>
      <c r="K169" s="30">
        <v>16.49603615573611</v>
      </c>
      <c r="L169" s="30">
        <v>232.71129154849834</v>
      </c>
      <c r="M169" s="31"/>
      <c r="N169" s="31"/>
    </row>
    <row r="170" spans="1:14" x14ac:dyDescent="0.2">
      <c r="A170" s="28">
        <v>44166</v>
      </c>
      <c r="B170" s="29">
        <v>262.0012818138141</v>
      </c>
      <c r="C170" s="29">
        <v>39.346638603848291</v>
      </c>
      <c r="D170" s="29">
        <v>301.34792041766241</v>
      </c>
      <c r="E170" s="29">
        <v>11.787180670423423</v>
      </c>
      <c r="F170" s="30">
        <v>313.13510108808583</v>
      </c>
      <c r="G170" s="29">
        <v>5.916928379999999</v>
      </c>
      <c r="H170" s="29">
        <v>13.034513803608361</v>
      </c>
      <c r="I170" s="29">
        <v>18.951442183608361</v>
      </c>
      <c r="J170" s="29">
        <v>0</v>
      </c>
      <c r="K170" s="30">
        <v>18.951442183608361</v>
      </c>
      <c r="L170" s="30">
        <v>294.18365890447745</v>
      </c>
      <c r="M170" s="31"/>
      <c r="N170" s="31"/>
    </row>
    <row r="171" spans="1:14" x14ac:dyDescent="0.2">
      <c r="A171" s="28">
        <v>44197</v>
      </c>
      <c r="B171" s="29">
        <v>211.66834097702414</v>
      </c>
      <c r="C171" s="29">
        <v>29.285683166683572</v>
      </c>
      <c r="D171" s="29">
        <v>240.95402414370773</v>
      </c>
      <c r="E171" s="29">
        <v>10.183250662531934</v>
      </c>
      <c r="F171" s="30">
        <v>251.13727480623967</v>
      </c>
      <c r="G171" s="29">
        <v>5.5957136699999994</v>
      </c>
      <c r="H171" s="29">
        <v>10.982192645000005</v>
      </c>
      <c r="I171" s="29">
        <v>16.577906315000003</v>
      </c>
      <c r="J171" s="29">
        <v>1.3031166666666667E-2</v>
      </c>
      <c r="K171" s="30">
        <v>16.590937481666671</v>
      </c>
      <c r="L171" s="30">
        <v>234.54633732457302</v>
      </c>
      <c r="M171" s="31"/>
    </row>
    <row r="172" spans="1:14" x14ac:dyDescent="0.2">
      <c r="A172" s="28">
        <v>44228</v>
      </c>
      <c r="B172" s="29">
        <v>212.48313600380899</v>
      </c>
      <c r="C172" s="29">
        <v>23.387550381361979</v>
      </c>
      <c r="D172" s="29">
        <v>235.87068638517098</v>
      </c>
      <c r="E172" s="29">
        <v>10.183250662531934</v>
      </c>
      <c r="F172" s="30">
        <v>246.05393704770293</v>
      </c>
      <c r="G172" s="29">
        <v>3.8610197209056643</v>
      </c>
      <c r="H172" s="29">
        <v>19.54560159902811</v>
      </c>
      <c r="I172" s="29">
        <v>23.406621319933773</v>
      </c>
      <c r="J172" s="29">
        <v>1.3031166666666667E-2</v>
      </c>
      <c r="K172" s="30">
        <v>23.419652486600441</v>
      </c>
      <c r="L172" s="30">
        <v>222.6342845611025</v>
      </c>
      <c r="M172" s="31"/>
    </row>
    <row r="173" spans="1:14" x14ac:dyDescent="0.2">
      <c r="A173" s="28">
        <v>44256</v>
      </c>
      <c r="B173" s="29">
        <v>279.08436312314086</v>
      </c>
      <c r="C173" s="29">
        <v>48.390014368005041</v>
      </c>
      <c r="D173" s="29">
        <v>327.4743774911459</v>
      </c>
      <c r="E173" s="29">
        <v>10.183250662531934</v>
      </c>
      <c r="F173" s="30">
        <v>337.65762815367782</v>
      </c>
      <c r="G173" s="29">
        <v>4.2914541900000005</v>
      </c>
      <c r="H173" s="29">
        <v>17.990120996000002</v>
      </c>
      <c r="I173" s="29">
        <v>22.281575186000001</v>
      </c>
      <c r="J173" s="29">
        <v>1.3031166666666667E-2</v>
      </c>
      <c r="K173" s="30">
        <v>22.294606352666669</v>
      </c>
      <c r="L173" s="30">
        <v>315.36302180101114</v>
      </c>
      <c r="M173" s="31"/>
    </row>
    <row r="174" spans="1:14" x14ac:dyDescent="0.2">
      <c r="A174" s="28">
        <v>44287</v>
      </c>
      <c r="B174" s="29">
        <v>254.94416396843891</v>
      </c>
      <c r="C174" s="29">
        <v>34.037024399101298</v>
      </c>
      <c r="D174" s="29">
        <v>288.9811883675402</v>
      </c>
      <c r="E174" s="29">
        <v>9.1268127386225668</v>
      </c>
      <c r="F174" s="30">
        <v>298.10800110616276</v>
      </c>
      <c r="G174" s="29">
        <v>3.695259646557143</v>
      </c>
      <c r="H174" s="29">
        <v>14.622466315829937</v>
      </c>
      <c r="I174" s="29">
        <v>18.31772596238708</v>
      </c>
      <c r="J174" s="29">
        <v>0</v>
      </c>
      <c r="K174" s="30">
        <v>18.31772596238708</v>
      </c>
      <c r="L174" s="30">
        <v>279.79027514377566</v>
      </c>
      <c r="M174" s="31"/>
    </row>
  </sheetData>
  <mergeCells count="11">
    <mergeCell ref="K13:K14"/>
    <mergeCell ref="A11:A14"/>
    <mergeCell ref="B11:L11"/>
    <mergeCell ref="B12:F12"/>
    <mergeCell ref="G12:K12"/>
    <mergeCell ref="L12:L14"/>
    <mergeCell ref="B13:D13"/>
    <mergeCell ref="E13:E14"/>
    <mergeCell ref="F13:F14"/>
    <mergeCell ref="G13:I13"/>
    <mergeCell ref="J13:J1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1D3C9-0C30-43CE-BCAD-CCD9B675162C}">
  <dimension ref="B3:U7"/>
  <sheetViews>
    <sheetView showGridLines="0" topLeftCell="A10" zoomScale="70" zoomScaleNormal="70" workbookViewId="0">
      <selection activeCell="X39" sqref="X39"/>
    </sheetView>
  </sheetViews>
  <sheetFormatPr defaultRowHeight="12.75" x14ac:dyDescent="0.2"/>
  <cols>
    <col min="2" max="2" width="22.28515625" customWidth="1"/>
  </cols>
  <sheetData>
    <row r="3" spans="2:21" s="6" customFormat="1" x14ac:dyDescent="0.2">
      <c r="C3" s="6">
        <v>2010</v>
      </c>
      <c r="D3" s="6">
        <f>C3+1</f>
        <v>2011</v>
      </c>
      <c r="E3" s="6">
        <f t="shared" ref="E3:S3" si="0">D3+1</f>
        <v>2012</v>
      </c>
      <c r="F3" s="6">
        <f t="shared" si="0"/>
        <v>2013</v>
      </c>
      <c r="G3" s="6">
        <f t="shared" si="0"/>
        <v>2014</v>
      </c>
      <c r="H3" s="6">
        <f t="shared" si="0"/>
        <v>2015</v>
      </c>
      <c r="I3" s="6">
        <f t="shared" si="0"/>
        <v>2016</v>
      </c>
      <c r="J3" s="6">
        <f t="shared" si="0"/>
        <v>2017</v>
      </c>
      <c r="K3" s="6">
        <f t="shared" si="0"/>
        <v>2018</v>
      </c>
      <c r="L3" s="6">
        <f t="shared" si="0"/>
        <v>2019</v>
      </c>
      <c r="M3" s="6">
        <f t="shared" si="0"/>
        <v>2020</v>
      </c>
      <c r="N3" s="6">
        <f t="shared" si="0"/>
        <v>2021</v>
      </c>
      <c r="O3" s="6">
        <f t="shared" si="0"/>
        <v>2022</v>
      </c>
      <c r="P3" s="6">
        <f t="shared" si="0"/>
        <v>2023</v>
      </c>
      <c r="Q3" s="6">
        <f t="shared" si="0"/>
        <v>2024</v>
      </c>
      <c r="R3" s="6">
        <f t="shared" si="0"/>
        <v>2025</v>
      </c>
      <c r="S3" s="6">
        <f t="shared" si="0"/>
        <v>2026</v>
      </c>
    </row>
    <row r="4" spans="2:21" x14ac:dyDescent="0.2">
      <c r="B4" t="s">
        <v>96</v>
      </c>
      <c r="C4" s="32">
        <v>4.6563015720906407</v>
      </c>
      <c r="D4" s="32">
        <v>3.2910511329838257</v>
      </c>
      <c r="E4" s="32">
        <v>5.4861006516681829</v>
      </c>
      <c r="F4" s="32">
        <v>7.6355556108220366</v>
      </c>
      <c r="G4" s="32">
        <v>7.4738310440010505</v>
      </c>
      <c r="H4" s="32">
        <v>7.1521940775625836</v>
      </c>
      <c r="I4" s="32">
        <v>7.5998935641278367</v>
      </c>
      <c r="J4" s="32">
        <v>7.462065761649467</v>
      </c>
      <c r="K4" s="32">
        <v>7.472891804914374</v>
      </c>
      <c r="L4" s="32">
        <v>7.1137768559394337</v>
      </c>
      <c r="M4" s="32">
        <v>3</v>
      </c>
      <c r="N4" s="32">
        <v>6</v>
      </c>
      <c r="O4" s="32">
        <v>6</v>
      </c>
      <c r="P4" s="32">
        <v>6</v>
      </c>
      <c r="Q4" s="32">
        <v>6</v>
      </c>
      <c r="R4" s="32">
        <v>6</v>
      </c>
      <c r="S4" s="32">
        <v>6</v>
      </c>
      <c r="T4" s="32"/>
      <c r="U4" s="32"/>
    </row>
    <row r="5" spans="2:21" x14ac:dyDescent="0.2">
      <c r="B5" t="s">
        <v>97</v>
      </c>
      <c r="C5" s="32">
        <v>-6.2965932916282261</v>
      </c>
      <c r="D5" s="32">
        <v>-6.2823568601635449</v>
      </c>
      <c r="E5" s="32">
        <v>-3.9897967344625975</v>
      </c>
      <c r="F5" s="32">
        <v>0.18801153654763209</v>
      </c>
      <c r="G5" s="32">
        <v>-0.49560912523483863</v>
      </c>
      <c r="H5" s="32">
        <v>-0.16383420775128024</v>
      </c>
      <c r="I5" s="32">
        <v>-8.5868222886241852E-2</v>
      </c>
      <c r="J5" s="32">
        <v>0.45895426616468227</v>
      </c>
      <c r="K5" s="32">
        <v>1.1810962429478775</v>
      </c>
      <c r="L5" s="32">
        <v>0.91483385619590563</v>
      </c>
      <c r="M5" s="32">
        <v>-3.9003407239899999</v>
      </c>
      <c r="N5" s="32">
        <v>0.2</v>
      </c>
      <c r="O5" s="32">
        <v>0.3</v>
      </c>
      <c r="P5" s="32">
        <v>1</v>
      </c>
      <c r="Q5" s="32">
        <v>1.4848160622887081</v>
      </c>
      <c r="R5" s="32">
        <v>1.1180339688792056</v>
      </c>
      <c r="S5" s="32">
        <v>1.4087884225305383</v>
      </c>
      <c r="T5" s="32"/>
      <c r="U5" s="32"/>
    </row>
    <row r="6" spans="2:21" x14ac:dyDescent="0.2">
      <c r="B6" t="s">
        <v>98</v>
      </c>
      <c r="C6" s="32">
        <v>118.11458482659046</v>
      </c>
      <c r="D6" s="32">
        <v>116.24716892840432</v>
      </c>
      <c r="E6" s="32">
        <v>119.05511643531395</v>
      </c>
      <c r="F6" s="32">
        <v>116.64570752639054</v>
      </c>
      <c r="G6" s="32">
        <v>118.3430133824356</v>
      </c>
      <c r="H6" s="32">
        <v>111.48756913921392</v>
      </c>
      <c r="I6" s="32">
        <v>113.69488932117244</v>
      </c>
      <c r="J6" s="32">
        <v>101.22488295179777</v>
      </c>
      <c r="K6" s="32">
        <v>94.386131849517213</v>
      </c>
      <c r="L6" s="32">
        <v>94.259651511701321</v>
      </c>
      <c r="M6" s="32">
        <v>106.13114251431257</v>
      </c>
      <c r="N6" s="32">
        <v>96.891301297178671</v>
      </c>
      <c r="O6" s="32">
        <v>85.279493800340106</v>
      </c>
      <c r="P6" s="32">
        <v>75.650817568219196</v>
      </c>
      <c r="Q6" s="32">
        <v>69.301137429984109</v>
      </c>
      <c r="R6" s="32">
        <v>64.363460409217339</v>
      </c>
      <c r="S6" s="32">
        <v>59.980149614730216</v>
      </c>
      <c r="T6" s="32"/>
      <c r="U6" s="32"/>
    </row>
    <row r="7" spans="2:21" x14ac:dyDescent="0.2"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6D7EB-CE96-4E05-BED1-A6229A05998D}">
  <dimension ref="A2:L349"/>
  <sheetViews>
    <sheetView workbookViewId="0">
      <pane xSplit="2" ySplit="2" topLeftCell="C272" activePane="bottomRight" state="frozen"/>
      <selection pane="topRight" activeCell="C1" sqref="C1"/>
      <selection pane="bottomLeft" activeCell="A3" sqref="A3"/>
      <selection pane="bottomRight" activeCell="K292" sqref="K292"/>
    </sheetView>
  </sheetViews>
  <sheetFormatPr defaultColWidth="9.140625" defaultRowHeight="15.75" x14ac:dyDescent="0.25"/>
  <cols>
    <col min="1" max="1" width="12.140625" style="9" customWidth="1"/>
    <col min="2" max="3" width="16" style="33" customWidth="1"/>
    <col min="4" max="5" width="19.5703125" style="33" customWidth="1"/>
    <col min="6" max="6" width="13.7109375" style="34" customWidth="1"/>
    <col min="7" max="7" width="6.42578125" style="35" customWidth="1"/>
    <col min="8" max="8" width="6.5703125" style="35" customWidth="1"/>
    <col min="9" max="12" width="9.140625" style="35"/>
    <col min="13" max="16384" width="9.140625" style="9"/>
  </cols>
  <sheetData>
    <row r="2" spans="1:12" ht="30.6" customHeight="1" thickBot="1" x14ac:dyDescent="0.3">
      <c r="B2" s="33" t="s">
        <v>99</v>
      </c>
      <c r="C2" s="64" t="s">
        <v>431</v>
      </c>
      <c r="D2" s="63" t="s">
        <v>432</v>
      </c>
      <c r="E2" s="63" t="s">
        <v>433</v>
      </c>
      <c r="F2" s="34" t="s">
        <v>100</v>
      </c>
    </row>
    <row r="3" spans="1:12" ht="13.5" thickBot="1" x14ac:dyDescent="0.25">
      <c r="A3" s="36" t="s">
        <v>101</v>
      </c>
      <c r="B3" s="37" t="s">
        <v>102</v>
      </c>
      <c r="C3" s="59"/>
      <c r="D3" s="59"/>
      <c r="E3" s="59"/>
      <c r="F3" s="9"/>
      <c r="G3" s="9"/>
      <c r="H3" s="9"/>
      <c r="I3" s="9"/>
      <c r="J3" s="9"/>
      <c r="K3" s="9"/>
      <c r="L3" s="9"/>
    </row>
    <row r="4" spans="1:12" ht="12.75" x14ac:dyDescent="0.2">
      <c r="A4" s="38">
        <v>34425</v>
      </c>
      <c r="B4" s="39">
        <v>48.94</v>
      </c>
      <c r="C4" s="60"/>
      <c r="D4" s="60"/>
      <c r="E4" s="60"/>
      <c r="F4" s="9"/>
      <c r="G4" s="9"/>
      <c r="H4" s="9"/>
      <c r="I4" s="9"/>
      <c r="J4" s="9"/>
      <c r="K4" s="9"/>
      <c r="L4" s="9"/>
    </row>
    <row r="5" spans="1:12" ht="12.75" x14ac:dyDescent="0.2">
      <c r="A5" s="38">
        <v>34455</v>
      </c>
      <c r="B5" s="40">
        <v>46.38</v>
      </c>
      <c r="C5" s="60"/>
      <c r="D5" s="60"/>
      <c r="E5" s="60"/>
      <c r="F5" s="9"/>
      <c r="G5" s="9"/>
      <c r="H5" s="9"/>
      <c r="I5" s="9"/>
      <c r="J5" s="9"/>
      <c r="K5" s="9"/>
      <c r="L5" s="9"/>
    </row>
    <row r="6" spans="1:12" ht="12.75" x14ac:dyDescent="0.2">
      <c r="A6" s="38">
        <v>34486</v>
      </c>
      <c r="B6" s="40">
        <v>44.4</v>
      </c>
      <c r="C6" s="60"/>
      <c r="D6" s="60"/>
      <c r="E6" s="60"/>
      <c r="F6" s="9"/>
      <c r="G6" s="9"/>
      <c r="H6" s="9"/>
      <c r="I6" s="9"/>
      <c r="J6" s="9"/>
      <c r="K6" s="9"/>
      <c r="L6" s="9"/>
    </row>
    <row r="7" spans="1:12" ht="12.75" x14ac:dyDescent="0.2">
      <c r="A7" s="38">
        <v>34516</v>
      </c>
      <c r="B7" s="40">
        <v>41.19</v>
      </c>
      <c r="C7" s="60"/>
      <c r="D7" s="60"/>
      <c r="E7" s="60"/>
      <c r="F7" s="9"/>
      <c r="G7" s="9"/>
      <c r="H7" s="9"/>
      <c r="I7" s="9"/>
      <c r="J7" s="9"/>
      <c r="K7" s="9"/>
      <c r="L7" s="9"/>
    </row>
    <row r="8" spans="1:12" ht="12.75" x14ac:dyDescent="0.2">
      <c r="A8" s="38">
        <v>34547</v>
      </c>
      <c r="B8" s="40">
        <v>38.299999999999997</v>
      </c>
      <c r="C8" s="60"/>
      <c r="D8" s="60"/>
      <c r="E8" s="60"/>
      <c r="F8" s="9"/>
      <c r="G8" s="9"/>
      <c r="H8" s="9"/>
      <c r="I8" s="9"/>
      <c r="J8" s="9"/>
      <c r="K8" s="9"/>
      <c r="L8" s="9"/>
    </row>
    <row r="9" spans="1:12" ht="12.75" x14ac:dyDescent="0.2">
      <c r="A9" s="38">
        <v>34578</v>
      </c>
      <c r="B9" s="40">
        <v>37.119999999999997</v>
      </c>
      <c r="C9" s="60"/>
      <c r="D9" s="60"/>
      <c r="E9" s="60"/>
      <c r="F9" s="9"/>
      <c r="G9" s="9"/>
      <c r="H9" s="9"/>
      <c r="I9" s="9"/>
      <c r="J9" s="9"/>
      <c r="K9" s="9"/>
      <c r="L9" s="9"/>
    </row>
    <row r="10" spans="1:12" ht="12.75" x14ac:dyDescent="0.2">
      <c r="A10" s="38">
        <v>34608</v>
      </c>
      <c r="B10" s="40">
        <v>34.159999999999997</v>
      </c>
      <c r="C10" s="60"/>
      <c r="D10" s="60"/>
      <c r="E10" s="60"/>
      <c r="F10" s="9"/>
      <c r="G10" s="9"/>
      <c r="H10" s="9"/>
      <c r="I10" s="9"/>
      <c r="J10" s="9"/>
      <c r="K10" s="9"/>
      <c r="L10" s="9"/>
    </row>
    <row r="11" spans="1:12" ht="12.75" x14ac:dyDescent="0.2">
      <c r="A11" s="38">
        <v>34639</v>
      </c>
      <c r="B11" s="40">
        <v>32.49</v>
      </c>
      <c r="C11" s="60"/>
      <c r="D11" s="60"/>
      <c r="E11" s="60"/>
      <c r="F11" s="9"/>
      <c r="G11" s="9"/>
      <c r="H11" s="9"/>
      <c r="I11" s="9"/>
      <c r="J11" s="9"/>
      <c r="K11" s="9"/>
      <c r="L11" s="9"/>
    </row>
    <row r="12" spans="1:12" ht="12.75" x14ac:dyDescent="0.2">
      <c r="A12" s="38">
        <v>34669</v>
      </c>
      <c r="B12" s="40">
        <v>28.75</v>
      </c>
      <c r="C12" s="60"/>
      <c r="D12" s="60"/>
      <c r="E12" s="60"/>
      <c r="F12" s="9"/>
      <c r="G12" s="9"/>
      <c r="H12" s="9"/>
      <c r="I12" s="9"/>
      <c r="J12" s="9"/>
      <c r="K12" s="9"/>
      <c r="L12" s="9"/>
    </row>
    <row r="13" spans="1:12" ht="12.75" x14ac:dyDescent="0.2">
      <c r="A13" s="38">
        <v>34700</v>
      </c>
      <c r="B13" s="40">
        <v>27.01</v>
      </c>
      <c r="C13" s="60"/>
      <c r="D13" s="60"/>
      <c r="E13" s="60"/>
      <c r="F13" s="9"/>
      <c r="G13" s="9"/>
      <c r="H13" s="9"/>
      <c r="I13" s="9"/>
      <c r="J13" s="9"/>
      <c r="K13" s="9"/>
      <c r="L13" s="9"/>
    </row>
    <row r="14" spans="1:12" ht="12.75" x14ac:dyDescent="0.2">
      <c r="A14" s="38">
        <v>34731</v>
      </c>
      <c r="B14" s="40">
        <v>23.5</v>
      </c>
      <c r="C14" s="60"/>
      <c r="D14" s="60"/>
      <c r="E14" s="60"/>
      <c r="F14" s="9"/>
      <c r="G14" s="9"/>
      <c r="H14" s="9"/>
      <c r="I14" s="9"/>
      <c r="J14" s="9"/>
      <c r="K14" s="9"/>
      <c r="L14" s="9"/>
    </row>
    <row r="15" spans="1:12" ht="12.75" x14ac:dyDescent="0.2">
      <c r="A15" s="38">
        <v>34759</v>
      </c>
      <c r="B15" s="40">
        <v>23.5</v>
      </c>
      <c r="C15" s="60"/>
      <c r="D15" s="60"/>
      <c r="E15" s="60"/>
      <c r="F15" s="9"/>
      <c r="G15" s="9"/>
      <c r="H15" s="9"/>
      <c r="I15" s="9"/>
      <c r="J15" s="9"/>
      <c r="K15" s="9"/>
      <c r="L15" s="9"/>
    </row>
    <row r="16" spans="1:12" ht="12.75" x14ac:dyDescent="0.2">
      <c r="A16" s="38">
        <v>34790</v>
      </c>
      <c r="B16" s="40">
        <v>24.5</v>
      </c>
      <c r="C16" s="60"/>
      <c r="D16" s="60"/>
      <c r="E16" s="60"/>
      <c r="F16" s="9"/>
      <c r="G16" s="9"/>
      <c r="H16" s="9"/>
      <c r="I16" s="9"/>
      <c r="J16" s="9"/>
      <c r="K16" s="9"/>
      <c r="L16" s="9"/>
    </row>
    <row r="17" spans="1:12" ht="12.75" x14ac:dyDescent="0.2">
      <c r="A17" s="38">
        <v>34820</v>
      </c>
      <c r="B17" s="40">
        <v>24.5</v>
      </c>
      <c r="C17" s="60"/>
      <c r="D17" s="60"/>
      <c r="E17" s="60"/>
      <c r="F17" s="9"/>
      <c r="G17" s="9"/>
      <c r="H17" s="9"/>
      <c r="I17" s="9"/>
      <c r="J17" s="9"/>
      <c r="K17" s="9"/>
      <c r="L17" s="9"/>
    </row>
    <row r="18" spans="1:12" ht="12.75" x14ac:dyDescent="0.2">
      <c r="A18" s="38">
        <v>34851</v>
      </c>
      <c r="B18" s="40">
        <v>24.5</v>
      </c>
      <c r="C18" s="60"/>
      <c r="D18" s="60"/>
      <c r="E18" s="60"/>
      <c r="F18" s="9"/>
      <c r="G18" s="9"/>
      <c r="H18" s="9"/>
      <c r="I18" s="9"/>
      <c r="J18" s="9"/>
      <c r="K18" s="9"/>
      <c r="L18" s="9"/>
    </row>
    <row r="19" spans="1:12" ht="12.75" x14ac:dyDescent="0.2">
      <c r="A19" s="38">
        <v>34881</v>
      </c>
      <c r="B19" s="40">
        <v>29.5</v>
      </c>
      <c r="C19" s="60"/>
      <c r="D19" s="60"/>
      <c r="E19" s="60"/>
      <c r="F19" s="9"/>
      <c r="G19" s="9"/>
      <c r="H19" s="9"/>
      <c r="I19" s="9"/>
      <c r="J19" s="9"/>
      <c r="K19" s="9"/>
      <c r="L19" s="9"/>
    </row>
    <row r="20" spans="1:12" ht="12.75" x14ac:dyDescent="0.2">
      <c r="A20" s="38">
        <v>34912</v>
      </c>
      <c r="B20" s="40">
        <v>29.5</v>
      </c>
      <c r="C20" s="60"/>
      <c r="D20" s="60"/>
      <c r="E20" s="60"/>
      <c r="F20" s="9"/>
      <c r="G20" s="9"/>
      <c r="H20" s="9"/>
      <c r="I20" s="9"/>
      <c r="J20" s="9"/>
      <c r="K20" s="9"/>
      <c r="L20" s="9"/>
    </row>
    <row r="21" spans="1:12" ht="12.75" x14ac:dyDescent="0.2">
      <c r="A21" s="38">
        <v>34943</v>
      </c>
      <c r="B21" s="40">
        <v>31</v>
      </c>
      <c r="C21" s="60"/>
      <c r="D21" s="60"/>
      <c r="E21" s="60"/>
      <c r="F21" s="9"/>
      <c r="G21" s="9"/>
      <c r="H21" s="9"/>
      <c r="I21" s="9"/>
      <c r="J21" s="9"/>
      <c r="K21" s="9"/>
      <c r="L21" s="9"/>
    </row>
    <row r="22" spans="1:12" ht="12.75" x14ac:dyDescent="0.2">
      <c r="A22" s="38">
        <v>34973</v>
      </c>
      <c r="B22" s="40">
        <v>37.5</v>
      </c>
      <c r="C22" s="60"/>
      <c r="D22" s="60"/>
      <c r="E22" s="60"/>
      <c r="F22" s="9"/>
      <c r="G22" s="9"/>
      <c r="H22" s="9"/>
      <c r="I22" s="9"/>
      <c r="J22" s="9"/>
      <c r="K22" s="9"/>
      <c r="L22" s="9"/>
    </row>
    <row r="23" spans="1:12" ht="12.75" x14ac:dyDescent="0.2">
      <c r="A23" s="38">
        <v>35004</v>
      </c>
      <c r="B23" s="40">
        <v>41.5</v>
      </c>
      <c r="C23" s="60"/>
      <c r="D23" s="60"/>
      <c r="E23" s="60"/>
      <c r="F23" s="9"/>
      <c r="G23" s="9"/>
      <c r="H23" s="9"/>
      <c r="I23" s="9"/>
      <c r="J23" s="9"/>
      <c r="K23" s="9"/>
      <c r="L23" s="9"/>
    </row>
    <row r="24" spans="1:12" ht="12.75" x14ac:dyDescent="0.2">
      <c r="A24" s="38">
        <v>35034</v>
      </c>
      <c r="B24" s="40">
        <v>41.5</v>
      </c>
      <c r="C24" s="60"/>
      <c r="D24" s="60"/>
      <c r="E24" s="60"/>
      <c r="F24" s="9"/>
      <c r="G24" s="9"/>
      <c r="H24" s="9"/>
      <c r="I24" s="9"/>
      <c r="J24" s="9"/>
      <c r="K24" s="9"/>
      <c r="L24" s="9"/>
    </row>
    <row r="25" spans="1:12" ht="12.75" x14ac:dyDescent="0.2">
      <c r="A25" s="38">
        <v>35065</v>
      </c>
      <c r="B25" s="40">
        <v>43.5</v>
      </c>
      <c r="C25" s="60"/>
      <c r="D25" s="60"/>
      <c r="E25" s="60"/>
      <c r="F25" s="9"/>
      <c r="G25" s="9"/>
      <c r="H25" s="9"/>
      <c r="I25" s="9"/>
      <c r="J25" s="9"/>
      <c r="K25" s="9"/>
      <c r="L25" s="9"/>
    </row>
    <row r="26" spans="1:12" ht="12.75" x14ac:dyDescent="0.2">
      <c r="A26" s="38">
        <v>35096</v>
      </c>
      <c r="B26" s="40">
        <v>43.5</v>
      </c>
      <c r="C26" s="60"/>
      <c r="D26" s="60"/>
      <c r="E26" s="60"/>
      <c r="F26" s="9"/>
      <c r="G26" s="9"/>
      <c r="H26" s="9"/>
      <c r="I26" s="9"/>
      <c r="J26" s="9"/>
      <c r="K26" s="9"/>
      <c r="L26" s="9"/>
    </row>
    <row r="27" spans="1:12" ht="12.75" x14ac:dyDescent="0.2">
      <c r="A27" s="38">
        <v>35125</v>
      </c>
      <c r="B27" s="40">
        <v>43.5</v>
      </c>
      <c r="C27" s="60"/>
      <c r="D27" s="60"/>
      <c r="E27" s="60"/>
      <c r="F27" s="9"/>
      <c r="G27" s="9"/>
      <c r="H27" s="9"/>
      <c r="I27" s="9"/>
      <c r="J27" s="9"/>
      <c r="K27" s="9"/>
      <c r="L27" s="9"/>
    </row>
    <row r="28" spans="1:12" ht="12.75" x14ac:dyDescent="0.2">
      <c r="A28" s="38">
        <v>35156</v>
      </c>
      <c r="B28" s="40">
        <v>43.5</v>
      </c>
      <c r="C28" s="60"/>
      <c r="D28" s="60"/>
      <c r="E28" s="60"/>
      <c r="F28" s="9"/>
      <c r="G28" s="9"/>
      <c r="H28" s="9"/>
      <c r="I28" s="9"/>
      <c r="J28" s="9"/>
      <c r="K28" s="9"/>
      <c r="L28" s="9"/>
    </row>
    <row r="29" spans="1:12" ht="12.75" x14ac:dyDescent="0.2">
      <c r="A29" s="38">
        <v>35186</v>
      </c>
      <c r="B29" s="40">
        <v>43.5</v>
      </c>
      <c r="C29" s="60"/>
      <c r="D29" s="60"/>
      <c r="E29" s="60"/>
      <c r="F29" s="9"/>
      <c r="G29" s="9"/>
      <c r="H29" s="9"/>
      <c r="I29" s="9"/>
      <c r="J29" s="9"/>
      <c r="K29" s="9"/>
      <c r="L29" s="9"/>
    </row>
    <row r="30" spans="1:12" ht="12.75" x14ac:dyDescent="0.2">
      <c r="A30" s="38">
        <v>35217</v>
      </c>
      <c r="B30" s="40">
        <v>42</v>
      </c>
      <c r="C30" s="60"/>
      <c r="D30" s="60"/>
      <c r="E30" s="60"/>
      <c r="F30" s="9"/>
      <c r="G30" s="9"/>
      <c r="H30" s="9"/>
      <c r="I30" s="9"/>
      <c r="J30" s="9"/>
      <c r="K30" s="9"/>
      <c r="L30" s="9"/>
    </row>
    <row r="31" spans="1:12" ht="12.75" x14ac:dyDescent="0.2">
      <c r="A31" s="38">
        <v>35247</v>
      </c>
      <c r="B31" s="40">
        <v>40</v>
      </c>
      <c r="C31" s="60"/>
      <c r="D31" s="60"/>
      <c r="E31" s="60"/>
      <c r="F31" s="9"/>
      <c r="G31" s="9"/>
      <c r="H31" s="9"/>
      <c r="I31" s="9"/>
      <c r="J31" s="9"/>
      <c r="K31" s="9"/>
      <c r="L31" s="9"/>
    </row>
    <row r="32" spans="1:12" ht="12.75" x14ac:dyDescent="0.2">
      <c r="A32" s="38">
        <v>35278</v>
      </c>
      <c r="B32" s="40">
        <v>38.5</v>
      </c>
      <c r="C32" s="60"/>
      <c r="D32" s="60"/>
      <c r="E32" s="60"/>
      <c r="F32" s="9"/>
      <c r="G32" s="9"/>
      <c r="H32" s="9"/>
      <c r="I32" s="9"/>
      <c r="J32" s="9"/>
      <c r="K32" s="9"/>
      <c r="L32" s="9"/>
    </row>
    <row r="33" spans="1:12" ht="12.75" x14ac:dyDescent="0.2">
      <c r="A33" s="38">
        <v>35309</v>
      </c>
      <c r="B33" s="40">
        <v>33</v>
      </c>
      <c r="C33" s="60"/>
      <c r="D33" s="60"/>
      <c r="E33" s="60"/>
      <c r="F33" s="9"/>
      <c r="G33" s="9"/>
      <c r="H33" s="9"/>
      <c r="I33" s="9"/>
      <c r="J33" s="9"/>
      <c r="K33" s="9"/>
      <c r="L33" s="9"/>
    </row>
    <row r="34" spans="1:12" ht="12.75" x14ac:dyDescent="0.2">
      <c r="A34" s="38">
        <v>35339</v>
      </c>
      <c r="B34" s="40">
        <v>33</v>
      </c>
      <c r="C34" s="60"/>
      <c r="D34" s="60"/>
      <c r="E34" s="60"/>
      <c r="F34" s="9"/>
      <c r="G34" s="9"/>
      <c r="H34" s="9"/>
      <c r="I34" s="9"/>
      <c r="J34" s="9"/>
      <c r="K34" s="9"/>
      <c r="L34" s="9"/>
    </row>
    <row r="35" spans="1:12" ht="12.75" x14ac:dyDescent="0.2">
      <c r="A35" s="38">
        <v>35370</v>
      </c>
      <c r="B35" s="40">
        <v>31</v>
      </c>
      <c r="C35" s="60"/>
      <c r="D35" s="60"/>
      <c r="E35" s="60"/>
      <c r="F35" s="9"/>
      <c r="G35" s="9"/>
      <c r="H35" s="9"/>
      <c r="I35" s="9"/>
      <c r="J35" s="9"/>
      <c r="K35" s="9"/>
      <c r="L35" s="9"/>
    </row>
    <row r="36" spans="1:12" ht="12.75" x14ac:dyDescent="0.2">
      <c r="A36" s="38">
        <v>35400</v>
      </c>
      <c r="B36" s="40">
        <v>27</v>
      </c>
      <c r="C36" s="60"/>
      <c r="D36" s="60"/>
      <c r="E36" s="60"/>
      <c r="F36" s="9"/>
      <c r="G36" s="9"/>
      <c r="H36" s="9"/>
      <c r="I36" s="9"/>
      <c r="J36" s="9"/>
      <c r="K36" s="9"/>
      <c r="L36" s="9"/>
    </row>
    <row r="37" spans="1:12" ht="12.75" x14ac:dyDescent="0.2">
      <c r="A37" s="38">
        <v>35431</v>
      </c>
      <c r="B37" s="40">
        <v>22.5</v>
      </c>
      <c r="C37" s="60"/>
      <c r="D37" s="60"/>
      <c r="E37" s="60"/>
      <c r="F37" s="9"/>
      <c r="G37" s="9"/>
      <c r="H37" s="9"/>
      <c r="I37" s="9"/>
      <c r="J37" s="9"/>
      <c r="K37" s="9"/>
      <c r="L37" s="9"/>
    </row>
    <row r="38" spans="1:12" ht="12.75" x14ac:dyDescent="0.2">
      <c r="A38" s="38">
        <v>35462</v>
      </c>
      <c r="B38" s="40">
        <v>18</v>
      </c>
      <c r="C38" s="60"/>
      <c r="D38" s="60"/>
      <c r="E38" s="60"/>
      <c r="F38" s="9"/>
      <c r="G38" s="9"/>
      <c r="H38" s="9"/>
      <c r="I38" s="9"/>
      <c r="J38" s="9"/>
      <c r="K38" s="9"/>
      <c r="L38" s="9"/>
    </row>
    <row r="39" spans="1:12" ht="12.75" x14ac:dyDescent="0.2">
      <c r="A39" s="38">
        <v>35490</v>
      </c>
      <c r="B39" s="40">
        <v>18</v>
      </c>
      <c r="C39" s="60"/>
      <c r="D39" s="60"/>
      <c r="E39" s="60"/>
      <c r="F39" s="9"/>
      <c r="G39" s="9"/>
      <c r="H39" s="9"/>
      <c r="I39" s="9"/>
      <c r="J39" s="9"/>
      <c r="K39" s="9"/>
      <c r="L39" s="9"/>
    </row>
    <row r="40" spans="1:12" ht="12.75" x14ac:dyDescent="0.2">
      <c r="A40" s="38">
        <v>35521</v>
      </c>
      <c r="B40" s="40">
        <v>18</v>
      </c>
      <c r="C40" s="60"/>
      <c r="D40" s="60"/>
      <c r="E40" s="60"/>
      <c r="F40" s="9"/>
      <c r="G40" s="9"/>
      <c r="H40" s="9"/>
      <c r="I40" s="9"/>
      <c r="J40" s="9"/>
      <c r="K40" s="9"/>
      <c r="L40" s="9"/>
    </row>
    <row r="41" spans="1:12" ht="12.75" x14ac:dyDescent="0.2">
      <c r="A41" s="38">
        <v>35551</v>
      </c>
      <c r="B41" s="40">
        <v>18</v>
      </c>
      <c r="C41" s="60"/>
      <c r="D41" s="60"/>
      <c r="E41" s="60"/>
      <c r="F41" s="9"/>
      <c r="G41" s="9"/>
      <c r="H41" s="9"/>
      <c r="I41" s="9"/>
      <c r="J41" s="9"/>
      <c r="K41" s="9"/>
      <c r="L41" s="9"/>
    </row>
    <row r="42" spans="1:12" ht="12.75" x14ac:dyDescent="0.2">
      <c r="A42" s="38">
        <v>35582</v>
      </c>
      <c r="B42" s="40">
        <v>18</v>
      </c>
      <c r="C42" s="60"/>
      <c r="D42" s="60"/>
      <c r="E42" s="60"/>
      <c r="F42" s="9"/>
      <c r="G42" s="9"/>
      <c r="H42" s="9"/>
      <c r="I42" s="9"/>
      <c r="J42" s="9"/>
      <c r="K42" s="9"/>
      <c r="L42" s="9"/>
    </row>
    <row r="43" spans="1:12" ht="12.75" x14ac:dyDescent="0.2">
      <c r="A43" s="38">
        <v>35612</v>
      </c>
      <c r="B43" s="40">
        <v>18</v>
      </c>
      <c r="C43" s="60"/>
      <c r="D43" s="60"/>
      <c r="E43" s="60"/>
      <c r="F43" s="9"/>
      <c r="G43" s="9"/>
      <c r="H43" s="9"/>
      <c r="I43" s="9"/>
      <c r="J43" s="9"/>
      <c r="K43" s="9"/>
      <c r="L43" s="9"/>
    </row>
    <row r="44" spans="1:12" ht="12.75" x14ac:dyDescent="0.2">
      <c r="A44" s="38">
        <v>35643</v>
      </c>
      <c r="B44" s="40">
        <v>20.7</v>
      </c>
      <c r="C44" s="60"/>
      <c r="D44" s="60"/>
      <c r="E44" s="60"/>
      <c r="F44" s="9"/>
      <c r="G44" s="9"/>
      <c r="H44" s="9"/>
      <c r="I44" s="9"/>
      <c r="J44" s="9"/>
      <c r="K44" s="9"/>
      <c r="L44" s="9"/>
    </row>
    <row r="45" spans="1:12" ht="12.75" x14ac:dyDescent="0.2">
      <c r="A45" s="38">
        <v>35674</v>
      </c>
      <c r="B45" s="40">
        <v>22</v>
      </c>
      <c r="C45" s="60"/>
      <c r="D45" s="60"/>
      <c r="E45" s="60"/>
      <c r="F45" s="9"/>
      <c r="G45" s="9"/>
      <c r="H45" s="9"/>
      <c r="I45" s="9"/>
      <c r="J45" s="9"/>
      <c r="K45" s="9"/>
      <c r="L45" s="9"/>
    </row>
    <row r="46" spans="1:12" ht="12.75" x14ac:dyDescent="0.2">
      <c r="A46" s="38">
        <v>35704</v>
      </c>
      <c r="B46" s="40">
        <v>22</v>
      </c>
      <c r="C46" s="60"/>
      <c r="D46" s="60"/>
      <c r="E46" s="60"/>
      <c r="F46" s="9"/>
      <c r="G46" s="9"/>
      <c r="H46" s="9"/>
      <c r="I46" s="9"/>
      <c r="J46" s="9"/>
      <c r="K46" s="9"/>
      <c r="L46" s="9"/>
    </row>
    <row r="47" spans="1:12" ht="12.75" x14ac:dyDescent="0.2">
      <c r="A47" s="38">
        <v>35735</v>
      </c>
      <c r="B47" s="40">
        <v>25</v>
      </c>
      <c r="C47" s="60"/>
      <c r="D47" s="60"/>
      <c r="E47" s="60"/>
      <c r="F47" s="9"/>
      <c r="G47" s="9"/>
      <c r="H47" s="9"/>
      <c r="I47" s="9"/>
      <c r="J47" s="9"/>
      <c r="K47" s="9"/>
      <c r="L47" s="9"/>
    </row>
    <row r="48" spans="1:12" ht="12.75" x14ac:dyDescent="0.2">
      <c r="A48" s="38">
        <v>35765</v>
      </c>
      <c r="B48" s="40">
        <v>29</v>
      </c>
      <c r="C48" s="60"/>
      <c r="D48" s="60"/>
      <c r="E48" s="60"/>
      <c r="F48" s="9"/>
      <c r="G48" s="9"/>
      <c r="H48" s="9"/>
      <c r="I48" s="9"/>
      <c r="J48" s="9"/>
      <c r="K48" s="9"/>
      <c r="L48" s="9"/>
    </row>
    <row r="49" spans="1:12" ht="12.75" x14ac:dyDescent="0.2">
      <c r="A49" s="38">
        <v>35796</v>
      </c>
      <c r="B49" s="40">
        <v>29</v>
      </c>
      <c r="C49" s="60"/>
      <c r="D49" s="60"/>
      <c r="E49" s="60"/>
      <c r="F49" s="9"/>
      <c r="G49" s="9"/>
      <c r="H49" s="9"/>
      <c r="I49" s="9"/>
      <c r="J49" s="9"/>
      <c r="K49" s="9"/>
      <c r="L49" s="9"/>
    </row>
    <row r="50" spans="1:12" ht="12.75" x14ac:dyDescent="0.2">
      <c r="A50" s="38">
        <v>35827</v>
      </c>
      <c r="B50" s="40">
        <v>29</v>
      </c>
      <c r="C50" s="60"/>
      <c r="D50" s="60"/>
      <c r="E50" s="60"/>
      <c r="F50" s="9"/>
      <c r="G50" s="9"/>
      <c r="H50" s="9"/>
      <c r="I50" s="9"/>
      <c r="J50" s="9"/>
      <c r="K50" s="9"/>
      <c r="L50" s="9"/>
    </row>
    <row r="51" spans="1:12" ht="12.75" x14ac:dyDescent="0.2">
      <c r="A51" s="38">
        <v>35855</v>
      </c>
      <c r="B51" s="40">
        <v>29</v>
      </c>
      <c r="C51" s="60"/>
      <c r="D51" s="60"/>
      <c r="E51" s="60"/>
      <c r="F51" s="9"/>
      <c r="G51" s="9"/>
      <c r="H51" s="9"/>
      <c r="I51" s="9"/>
      <c r="J51" s="9"/>
      <c r="K51" s="9"/>
      <c r="L51" s="9"/>
    </row>
    <row r="52" spans="1:12" ht="12.75" x14ac:dyDescent="0.2">
      <c r="A52" s="38">
        <v>35886</v>
      </c>
      <c r="B52" s="40">
        <v>26.5</v>
      </c>
      <c r="C52" s="60"/>
      <c r="D52" s="60"/>
      <c r="E52" s="60"/>
      <c r="F52" s="9"/>
      <c r="G52" s="9"/>
      <c r="H52" s="9"/>
      <c r="I52" s="9"/>
      <c r="J52" s="9"/>
      <c r="K52" s="9"/>
      <c r="L52" s="9"/>
    </row>
    <row r="53" spans="1:12" ht="12.75" x14ac:dyDescent="0.2">
      <c r="A53" s="38">
        <v>35916</v>
      </c>
      <c r="B53" s="40">
        <v>25</v>
      </c>
      <c r="C53" s="60"/>
      <c r="D53" s="60"/>
      <c r="E53" s="60"/>
      <c r="F53" s="9"/>
      <c r="G53" s="9"/>
      <c r="H53" s="9"/>
      <c r="I53" s="9"/>
      <c r="J53" s="9"/>
      <c r="K53" s="9"/>
      <c r="L53" s="9"/>
    </row>
    <row r="54" spans="1:12" ht="12.75" x14ac:dyDescent="0.2">
      <c r="A54" s="38">
        <v>35947</v>
      </c>
      <c r="B54" s="40">
        <v>24</v>
      </c>
      <c r="C54" s="60"/>
      <c r="D54" s="60"/>
      <c r="E54" s="60"/>
      <c r="F54" s="9"/>
      <c r="G54" s="9"/>
      <c r="H54" s="9"/>
      <c r="I54" s="9"/>
      <c r="J54" s="9"/>
      <c r="K54" s="9"/>
      <c r="L54" s="9"/>
    </row>
    <row r="55" spans="1:12" ht="12.75" x14ac:dyDescent="0.2">
      <c r="A55" s="38">
        <v>35977</v>
      </c>
      <c r="B55" s="40">
        <v>23</v>
      </c>
      <c r="C55" s="60"/>
      <c r="D55" s="60"/>
      <c r="E55" s="60"/>
      <c r="F55" s="9"/>
      <c r="G55" s="9"/>
      <c r="H55" s="9"/>
      <c r="I55" s="9"/>
      <c r="J55" s="9"/>
      <c r="K55" s="9"/>
      <c r="L55" s="9"/>
    </row>
    <row r="56" spans="1:12" ht="12.75" x14ac:dyDescent="0.2">
      <c r="A56" s="38">
        <v>36008</v>
      </c>
      <c r="B56" s="40">
        <v>22</v>
      </c>
      <c r="C56" s="60"/>
      <c r="D56" s="60"/>
      <c r="E56" s="60"/>
      <c r="F56" s="9"/>
      <c r="G56" s="9"/>
      <c r="H56" s="9"/>
      <c r="I56" s="9"/>
      <c r="J56" s="9"/>
      <c r="K56" s="9"/>
      <c r="L56" s="9"/>
    </row>
    <row r="57" spans="1:12" ht="12.75" x14ac:dyDescent="0.2">
      <c r="A57" s="38">
        <v>36039</v>
      </c>
      <c r="B57" s="40">
        <v>22</v>
      </c>
      <c r="C57" s="60"/>
      <c r="D57" s="60"/>
      <c r="E57" s="60"/>
      <c r="F57" s="9"/>
      <c r="G57" s="9"/>
      <c r="H57" s="9"/>
      <c r="I57" s="9"/>
      <c r="J57" s="9"/>
      <c r="K57" s="9"/>
      <c r="L57" s="9"/>
    </row>
    <row r="58" spans="1:12" ht="12.75" x14ac:dyDescent="0.2">
      <c r="A58" s="38">
        <v>36069</v>
      </c>
      <c r="B58" s="40">
        <v>22</v>
      </c>
      <c r="C58" s="60"/>
      <c r="D58" s="60"/>
      <c r="E58" s="60"/>
      <c r="F58" s="9"/>
      <c r="G58" s="9"/>
      <c r="H58" s="9"/>
      <c r="I58" s="9"/>
      <c r="J58" s="9"/>
      <c r="K58" s="9"/>
      <c r="L58" s="9"/>
    </row>
    <row r="59" spans="1:12" ht="12.75" x14ac:dyDescent="0.2">
      <c r="A59" s="38">
        <v>36100</v>
      </c>
      <c r="B59" s="40">
        <v>22</v>
      </c>
      <c r="C59" s="60"/>
      <c r="D59" s="60"/>
      <c r="E59" s="60"/>
      <c r="F59" s="9"/>
      <c r="G59" s="9"/>
      <c r="H59" s="9"/>
      <c r="I59" s="9"/>
      <c r="J59" s="9"/>
      <c r="K59" s="9"/>
      <c r="L59" s="9"/>
    </row>
    <row r="60" spans="1:12" ht="12.75" x14ac:dyDescent="0.2">
      <c r="A60" s="38">
        <v>36130</v>
      </c>
      <c r="B60" s="40">
        <v>22</v>
      </c>
      <c r="C60" s="60"/>
      <c r="D60" s="60"/>
      <c r="E60" s="60"/>
      <c r="F60" s="9"/>
      <c r="G60" s="9"/>
      <c r="H60" s="9"/>
      <c r="I60" s="9"/>
      <c r="J60" s="9"/>
      <c r="K60" s="9"/>
      <c r="L60" s="9"/>
    </row>
    <row r="61" spans="1:12" ht="12.75" x14ac:dyDescent="0.2">
      <c r="A61" s="38">
        <v>36161</v>
      </c>
      <c r="B61" s="40">
        <v>22</v>
      </c>
      <c r="C61" s="60"/>
      <c r="D61" s="60"/>
      <c r="E61" s="60"/>
      <c r="F61" s="9"/>
      <c r="G61" s="9"/>
      <c r="H61" s="9"/>
      <c r="I61" s="9"/>
      <c r="J61" s="9"/>
      <c r="K61" s="9"/>
      <c r="L61" s="9"/>
    </row>
    <row r="62" spans="1:12" ht="12.75" x14ac:dyDescent="0.2">
      <c r="A62" s="38">
        <v>36192</v>
      </c>
      <c r="B62" s="40">
        <v>22</v>
      </c>
      <c r="C62" s="60"/>
      <c r="D62" s="60"/>
      <c r="E62" s="60"/>
      <c r="F62" s="9"/>
      <c r="G62" s="9"/>
      <c r="H62" s="9"/>
      <c r="I62" s="9"/>
      <c r="J62" s="9"/>
      <c r="K62" s="9"/>
      <c r="L62" s="9"/>
    </row>
    <row r="63" spans="1:12" ht="12.75" x14ac:dyDescent="0.2">
      <c r="A63" s="38">
        <v>36220</v>
      </c>
      <c r="B63" s="40">
        <v>20.75</v>
      </c>
      <c r="C63" s="60"/>
      <c r="D63" s="60"/>
      <c r="E63" s="60"/>
      <c r="F63" s="9"/>
      <c r="G63" s="9"/>
      <c r="H63" s="9"/>
      <c r="I63" s="9"/>
      <c r="J63" s="9"/>
      <c r="K63" s="9"/>
      <c r="L63" s="9"/>
    </row>
    <row r="64" spans="1:12" ht="12.75" x14ac:dyDescent="0.2">
      <c r="A64" s="38">
        <v>36251</v>
      </c>
      <c r="B64" s="40">
        <v>20.75</v>
      </c>
      <c r="C64" s="60"/>
      <c r="D64" s="60"/>
      <c r="E64" s="60"/>
      <c r="F64" s="9"/>
      <c r="G64" s="9"/>
      <c r="H64" s="9"/>
      <c r="I64" s="9"/>
      <c r="J64" s="9"/>
      <c r="K64" s="9"/>
      <c r="L64" s="9"/>
    </row>
    <row r="65" spans="1:12" ht="12.75" x14ac:dyDescent="0.2">
      <c r="A65" s="38">
        <v>36281</v>
      </c>
      <c r="B65" s="40">
        <v>18.850000000000001</v>
      </c>
      <c r="C65" s="60"/>
      <c r="D65" s="60"/>
      <c r="E65" s="60"/>
      <c r="F65" s="9"/>
      <c r="G65" s="9"/>
      <c r="H65" s="9"/>
      <c r="I65" s="9"/>
      <c r="J65" s="9"/>
      <c r="K65" s="9"/>
      <c r="L65" s="9"/>
    </row>
    <row r="66" spans="1:12" ht="12.75" x14ac:dyDescent="0.2">
      <c r="A66" s="38">
        <v>36312</v>
      </c>
      <c r="B66" s="40">
        <v>18.850000000000001</v>
      </c>
      <c r="C66" s="60"/>
      <c r="D66" s="60"/>
      <c r="E66" s="60"/>
      <c r="F66" s="9"/>
      <c r="G66" s="9"/>
      <c r="H66" s="9"/>
      <c r="I66" s="9"/>
      <c r="J66" s="9"/>
      <c r="K66" s="9"/>
      <c r="L66" s="9"/>
    </row>
    <row r="67" spans="1:12" ht="12.75" x14ac:dyDescent="0.2">
      <c r="A67" s="38">
        <v>36342</v>
      </c>
      <c r="B67" s="40">
        <v>18.850000000000001</v>
      </c>
      <c r="C67" s="60"/>
      <c r="D67" s="60"/>
      <c r="E67" s="60"/>
      <c r="F67" s="9"/>
      <c r="G67" s="9"/>
      <c r="H67" s="9"/>
      <c r="I67" s="9"/>
      <c r="J67" s="9"/>
      <c r="K67" s="9"/>
      <c r="L67" s="9"/>
    </row>
    <row r="68" spans="1:12" ht="12.75" x14ac:dyDescent="0.2">
      <c r="A68" s="38">
        <v>36373</v>
      </c>
      <c r="B68" s="40">
        <v>18.850000000000001</v>
      </c>
      <c r="C68" s="60"/>
      <c r="D68" s="60"/>
      <c r="E68" s="60"/>
      <c r="F68" s="9"/>
      <c r="G68" s="9"/>
      <c r="H68" s="9"/>
      <c r="I68" s="9"/>
      <c r="J68" s="9"/>
      <c r="K68" s="9"/>
      <c r="L68" s="9"/>
    </row>
    <row r="69" spans="1:12" ht="12.75" x14ac:dyDescent="0.2">
      <c r="A69" s="38">
        <v>36404</v>
      </c>
      <c r="B69" s="40">
        <v>18.350000000000001</v>
      </c>
      <c r="C69" s="60"/>
      <c r="D69" s="60"/>
      <c r="E69" s="60"/>
      <c r="F69" s="9"/>
      <c r="G69" s="9"/>
      <c r="H69" s="9"/>
      <c r="I69" s="9"/>
      <c r="J69" s="9"/>
      <c r="K69" s="9"/>
      <c r="L69" s="9"/>
    </row>
    <row r="70" spans="1:12" ht="12.75" x14ac:dyDescent="0.2">
      <c r="A70" s="38">
        <v>36434</v>
      </c>
      <c r="B70" s="40">
        <v>18.350000000000001</v>
      </c>
      <c r="C70" s="60"/>
      <c r="D70" s="60"/>
      <c r="E70" s="60"/>
      <c r="F70" s="9"/>
      <c r="G70" s="9"/>
      <c r="H70" s="9"/>
      <c r="I70" s="9"/>
      <c r="J70" s="9"/>
      <c r="K70" s="9"/>
      <c r="L70" s="9"/>
    </row>
    <row r="71" spans="1:12" ht="12.75" x14ac:dyDescent="0.2">
      <c r="A71" s="38">
        <v>36465</v>
      </c>
      <c r="B71" s="40">
        <v>18.350000000000001</v>
      </c>
      <c r="C71" s="60"/>
      <c r="D71" s="60"/>
      <c r="E71" s="60"/>
      <c r="F71" s="9"/>
      <c r="G71" s="9"/>
      <c r="H71" s="9"/>
      <c r="I71" s="9"/>
      <c r="J71" s="9"/>
      <c r="K71" s="9"/>
      <c r="L71" s="9"/>
    </row>
    <row r="72" spans="1:12" ht="12.75" x14ac:dyDescent="0.2">
      <c r="A72" s="38">
        <v>36495</v>
      </c>
      <c r="B72" s="40">
        <v>18.350000000000001</v>
      </c>
      <c r="C72" s="60"/>
      <c r="D72" s="60"/>
      <c r="E72" s="60"/>
      <c r="F72" s="9"/>
      <c r="G72" s="9"/>
      <c r="H72" s="9"/>
      <c r="I72" s="9"/>
      <c r="J72" s="9"/>
      <c r="K72" s="9"/>
      <c r="L72" s="9"/>
    </row>
    <row r="73" spans="1:12" ht="12.75" x14ac:dyDescent="0.2">
      <c r="A73" s="38">
        <v>36526</v>
      </c>
      <c r="B73" s="40">
        <v>18.350000000000001</v>
      </c>
      <c r="C73" s="60"/>
      <c r="D73" s="60"/>
      <c r="E73" s="60"/>
      <c r="F73" s="9"/>
      <c r="G73" s="9"/>
      <c r="H73" s="9"/>
      <c r="I73" s="9"/>
      <c r="J73" s="9"/>
      <c r="K73" s="9"/>
      <c r="L73" s="9"/>
    </row>
    <row r="74" spans="1:12" ht="12.75" x14ac:dyDescent="0.2">
      <c r="A74" s="38">
        <v>36557</v>
      </c>
      <c r="B74" s="40">
        <v>18.350000000000001</v>
      </c>
      <c r="C74" s="60"/>
      <c r="D74" s="60"/>
      <c r="E74" s="60"/>
      <c r="F74" s="9"/>
      <c r="G74" s="9"/>
      <c r="H74" s="9"/>
      <c r="I74" s="9"/>
      <c r="J74" s="9"/>
      <c r="K74" s="9"/>
      <c r="L74" s="9"/>
    </row>
    <row r="75" spans="1:12" ht="12.75" x14ac:dyDescent="0.2">
      <c r="A75" s="38">
        <v>36586</v>
      </c>
      <c r="B75" s="40">
        <v>17.5</v>
      </c>
      <c r="C75" s="60"/>
      <c r="D75" s="60"/>
      <c r="E75" s="60"/>
      <c r="F75" s="9"/>
      <c r="G75" s="9"/>
      <c r="H75" s="9"/>
      <c r="I75" s="9"/>
      <c r="J75" s="9"/>
      <c r="K75" s="9"/>
      <c r="L75" s="9"/>
    </row>
    <row r="76" spans="1:12" ht="12.75" x14ac:dyDescent="0.2">
      <c r="A76" s="38">
        <v>36617</v>
      </c>
      <c r="B76" s="40">
        <v>17.3</v>
      </c>
      <c r="C76" s="60"/>
      <c r="D76" s="60"/>
      <c r="E76" s="60"/>
      <c r="F76" s="9"/>
      <c r="G76" s="9"/>
      <c r="H76" s="9"/>
      <c r="I76" s="9"/>
      <c r="J76" s="9"/>
      <c r="K76" s="9"/>
      <c r="L76" s="9"/>
    </row>
    <row r="77" spans="1:12" ht="12.75" x14ac:dyDescent="0.2">
      <c r="A77" s="38">
        <v>36647</v>
      </c>
      <c r="B77" s="40">
        <v>17</v>
      </c>
      <c r="C77" s="60"/>
      <c r="D77" s="60"/>
      <c r="E77" s="60"/>
      <c r="F77" s="9"/>
      <c r="G77" s="9"/>
      <c r="H77" s="9"/>
      <c r="I77" s="9"/>
      <c r="J77" s="9"/>
      <c r="K77" s="9"/>
      <c r="L77" s="9"/>
    </row>
    <row r="78" spans="1:12" ht="12.75" x14ac:dyDescent="0.2">
      <c r="A78" s="38">
        <v>36678</v>
      </c>
      <c r="B78" s="40">
        <v>17</v>
      </c>
      <c r="C78" s="60"/>
      <c r="D78" s="60"/>
      <c r="E78" s="60"/>
      <c r="F78" s="9"/>
      <c r="G78" s="9"/>
      <c r="H78" s="9"/>
      <c r="I78" s="9"/>
      <c r="J78" s="9"/>
      <c r="K78" s="9"/>
      <c r="L78" s="9"/>
    </row>
    <row r="79" spans="1:12" ht="12.75" x14ac:dyDescent="0.2">
      <c r="A79" s="38">
        <v>36708</v>
      </c>
      <c r="B79" s="40">
        <v>17</v>
      </c>
      <c r="C79" s="60"/>
      <c r="D79" s="60"/>
      <c r="E79" s="60"/>
      <c r="F79" s="9"/>
      <c r="G79" s="9"/>
      <c r="H79" s="9"/>
      <c r="I79" s="9"/>
      <c r="J79" s="9"/>
      <c r="K79" s="9"/>
      <c r="L79" s="9"/>
    </row>
    <row r="80" spans="1:12" ht="12.75" x14ac:dyDescent="0.2">
      <c r="A80" s="38">
        <v>36739</v>
      </c>
      <c r="B80" s="40">
        <v>16.75</v>
      </c>
      <c r="C80" s="60"/>
      <c r="D80" s="60"/>
      <c r="E80" s="60"/>
      <c r="F80" s="9"/>
      <c r="G80" s="9"/>
      <c r="H80" s="9"/>
      <c r="I80" s="9"/>
      <c r="J80" s="9"/>
      <c r="K80" s="9"/>
      <c r="L80" s="9"/>
    </row>
    <row r="81" spans="1:12" ht="12.75" x14ac:dyDescent="0.2">
      <c r="A81" s="38">
        <v>36770</v>
      </c>
      <c r="B81" s="40">
        <v>16.45</v>
      </c>
      <c r="C81" s="60"/>
      <c r="D81" s="60"/>
      <c r="E81" s="60"/>
      <c r="F81" s="9"/>
      <c r="G81" s="9"/>
      <c r="H81" s="9"/>
      <c r="I81" s="9"/>
      <c r="J81" s="9"/>
      <c r="K81" s="9"/>
      <c r="L81" s="9"/>
    </row>
    <row r="82" spans="1:12" ht="12.75" x14ac:dyDescent="0.2">
      <c r="A82" s="38">
        <v>36800</v>
      </c>
      <c r="B82" s="40">
        <v>16.45</v>
      </c>
      <c r="C82" s="60"/>
      <c r="D82" s="60"/>
      <c r="E82" s="60"/>
      <c r="F82" s="9"/>
      <c r="G82" s="9"/>
      <c r="H82" s="9"/>
      <c r="I82" s="9"/>
      <c r="J82" s="9"/>
      <c r="K82" s="9"/>
      <c r="L82" s="9"/>
    </row>
    <row r="83" spans="1:12" ht="12.75" x14ac:dyDescent="0.2">
      <c r="A83" s="38">
        <v>36831</v>
      </c>
      <c r="B83" s="40">
        <v>16.45</v>
      </c>
      <c r="C83" s="60"/>
      <c r="D83" s="60"/>
      <c r="E83" s="60"/>
      <c r="F83" s="9"/>
      <c r="G83" s="9"/>
      <c r="H83" s="9"/>
      <c r="I83" s="9"/>
      <c r="J83" s="9"/>
      <c r="K83" s="9"/>
      <c r="L83" s="9"/>
    </row>
    <row r="84" spans="1:12" ht="12.75" x14ac:dyDescent="0.2">
      <c r="A84" s="38">
        <v>36861</v>
      </c>
      <c r="B84" s="40">
        <v>16.45</v>
      </c>
      <c r="C84" s="60"/>
      <c r="D84" s="60"/>
      <c r="E84" s="60"/>
      <c r="F84" s="9"/>
      <c r="G84" s="9"/>
      <c r="H84" s="9"/>
      <c r="I84" s="9"/>
      <c r="J84" s="9"/>
      <c r="K84" s="9"/>
      <c r="L84" s="9"/>
    </row>
    <row r="85" spans="1:12" ht="12.75" x14ac:dyDescent="0.2">
      <c r="A85" s="38">
        <v>36892</v>
      </c>
      <c r="B85" s="40">
        <v>16.45</v>
      </c>
      <c r="C85" s="60"/>
      <c r="D85" s="60"/>
      <c r="E85" s="60"/>
      <c r="F85" s="9"/>
      <c r="G85" s="9"/>
      <c r="H85" s="9"/>
      <c r="I85" s="9"/>
      <c r="J85" s="9"/>
      <c r="K85" s="9"/>
      <c r="L85" s="9"/>
    </row>
    <row r="86" spans="1:12" ht="12.75" x14ac:dyDescent="0.2">
      <c r="A86" s="38">
        <v>36923</v>
      </c>
      <c r="B86" s="40">
        <v>16.45</v>
      </c>
      <c r="C86" s="60"/>
      <c r="D86" s="60"/>
      <c r="E86" s="60"/>
      <c r="F86" s="9"/>
      <c r="G86" s="9"/>
      <c r="H86" s="9"/>
      <c r="I86" s="9"/>
      <c r="J86" s="9"/>
      <c r="K86" s="9"/>
      <c r="L86" s="9"/>
    </row>
    <row r="87" spans="1:12" ht="12.75" x14ac:dyDescent="0.2">
      <c r="A87" s="38">
        <v>36962</v>
      </c>
      <c r="B87" s="40">
        <v>16</v>
      </c>
      <c r="C87" s="60"/>
      <c r="D87" s="60"/>
      <c r="E87" s="60"/>
      <c r="F87" s="9"/>
      <c r="G87" s="9"/>
      <c r="H87" s="9"/>
      <c r="I87" s="9"/>
      <c r="J87" s="9"/>
      <c r="K87" s="9"/>
      <c r="L87" s="9"/>
    </row>
    <row r="88" spans="1:12" ht="12.75" x14ac:dyDescent="0.2">
      <c r="A88" s="38">
        <v>36972</v>
      </c>
      <c r="B88" s="40">
        <v>15.5</v>
      </c>
      <c r="C88" s="60"/>
      <c r="D88" s="60"/>
      <c r="E88" s="60"/>
      <c r="F88" s="9"/>
      <c r="G88" s="9"/>
      <c r="H88" s="9"/>
      <c r="I88" s="9"/>
      <c r="J88" s="9"/>
      <c r="K88" s="9"/>
      <c r="L88" s="9"/>
    </row>
    <row r="89" spans="1:12" ht="12.75" x14ac:dyDescent="0.2">
      <c r="A89" s="38">
        <v>36982</v>
      </c>
      <c r="B89" s="40">
        <v>15.5</v>
      </c>
      <c r="C89" s="60"/>
      <c r="D89" s="60"/>
      <c r="E89" s="60"/>
      <c r="F89" s="9"/>
      <c r="G89" s="9"/>
      <c r="H89" s="9"/>
      <c r="I89" s="9"/>
      <c r="J89" s="9"/>
      <c r="K89" s="9"/>
      <c r="L89" s="9"/>
    </row>
    <row r="90" spans="1:12" ht="12.75" x14ac:dyDescent="0.2">
      <c r="A90" s="38">
        <v>37012</v>
      </c>
      <c r="B90" s="40">
        <v>14.75</v>
      </c>
      <c r="C90" s="60"/>
      <c r="D90" s="60"/>
      <c r="E90" s="60"/>
      <c r="F90" s="9"/>
      <c r="G90" s="9"/>
      <c r="H90" s="9"/>
      <c r="I90" s="9"/>
      <c r="J90" s="9"/>
      <c r="K90" s="9"/>
      <c r="L90" s="9"/>
    </row>
    <row r="91" spans="1:12" ht="12.75" x14ac:dyDescent="0.2">
      <c r="A91" s="38">
        <v>37050</v>
      </c>
      <c r="B91" s="40">
        <v>14.5</v>
      </c>
      <c r="C91" s="60"/>
      <c r="D91" s="60"/>
      <c r="E91" s="60"/>
      <c r="F91" s="9"/>
      <c r="G91" s="9"/>
      <c r="H91" s="9"/>
      <c r="I91" s="9"/>
      <c r="J91" s="9"/>
      <c r="K91" s="9"/>
      <c r="L91" s="9"/>
    </row>
    <row r="92" spans="1:12" ht="12.75" x14ac:dyDescent="0.2">
      <c r="A92" s="38">
        <v>37067</v>
      </c>
      <c r="B92" s="40">
        <v>14.25</v>
      </c>
      <c r="C92" s="60"/>
      <c r="D92" s="60"/>
      <c r="E92" s="60"/>
      <c r="F92" s="9"/>
      <c r="G92" s="9"/>
      <c r="H92" s="9"/>
      <c r="I92" s="9"/>
      <c r="J92" s="9"/>
      <c r="K92" s="9"/>
      <c r="L92" s="9"/>
    </row>
    <row r="93" spans="1:12" ht="12.75" x14ac:dyDescent="0.2">
      <c r="A93" s="38">
        <v>37073</v>
      </c>
      <c r="B93" s="40">
        <v>14.25</v>
      </c>
      <c r="C93" s="60"/>
      <c r="D93" s="60"/>
      <c r="E93" s="60"/>
      <c r="F93" s="9"/>
      <c r="G93" s="9"/>
      <c r="H93" s="9"/>
      <c r="I93" s="9"/>
      <c r="J93" s="9"/>
      <c r="K93" s="9"/>
      <c r="L93" s="9"/>
    </row>
    <row r="94" spans="1:12" ht="12.75" x14ac:dyDescent="0.2">
      <c r="A94" s="38">
        <v>37104</v>
      </c>
      <c r="B94" s="40">
        <v>14.25</v>
      </c>
      <c r="C94" s="60"/>
      <c r="D94" s="60"/>
      <c r="E94" s="60"/>
      <c r="F94" s="9"/>
      <c r="G94" s="9"/>
      <c r="H94" s="9"/>
      <c r="I94" s="9"/>
      <c r="J94" s="9"/>
      <c r="K94" s="9"/>
      <c r="L94" s="9"/>
    </row>
    <row r="95" spans="1:12" ht="12.75" x14ac:dyDescent="0.2">
      <c r="A95" s="38">
        <v>37135</v>
      </c>
      <c r="B95" s="40">
        <v>14.25</v>
      </c>
      <c r="C95" s="60"/>
      <c r="D95" s="60"/>
      <c r="E95" s="60"/>
      <c r="F95" s="9"/>
      <c r="G95" s="9"/>
      <c r="H95" s="9"/>
      <c r="I95" s="9"/>
      <c r="J95" s="9"/>
      <c r="K95" s="9"/>
      <c r="L95" s="9"/>
    </row>
    <row r="96" spans="1:12" ht="12.75" x14ac:dyDescent="0.2">
      <c r="A96" s="38">
        <v>37165</v>
      </c>
      <c r="B96" s="40">
        <v>14.25</v>
      </c>
      <c r="C96" s="60"/>
      <c r="D96" s="60"/>
      <c r="E96" s="60"/>
      <c r="F96" s="9"/>
      <c r="G96" s="9"/>
      <c r="H96" s="9"/>
      <c r="I96" s="9"/>
      <c r="J96" s="9"/>
      <c r="K96" s="9"/>
      <c r="L96" s="9"/>
    </row>
    <row r="97" spans="1:12" ht="12.75" x14ac:dyDescent="0.2">
      <c r="A97" s="38">
        <v>37196</v>
      </c>
      <c r="B97" s="40">
        <v>14.25</v>
      </c>
      <c r="C97" s="60"/>
      <c r="D97" s="60"/>
      <c r="E97" s="60"/>
      <c r="F97" s="9"/>
      <c r="G97" s="9"/>
      <c r="H97" s="9"/>
      <c r="I97" s="9"/>
      <c r="J97" s="9"/>
      <c r="K97" s="9"/>
      <c r="L97" s="9"/>
    </row>
    <row r="98" spans="1:12" ht="12.75" x14ac:dyDescent="0.2">
      <c r="A98" s="38">
        <v>37226</v>
      </c>
      <c r="B98" s="40">
        <v>14.25</v>
      </c>
      <c r="C98" s="60"/>
      <c r="D98" s="60"/>
      <c r="E98" s="60"/>
      <c r="F98" s="9"/>
      <c r="G98" s="9"/>
      <c r="H98" s="9"/>
      <c r="I98" s="9"/>
      <c r="J98" s="9"/>
      <c r="K98" s="9"/>
      <c r="L98" s="9"/>
    </row>
    <row r="99" spans="1:12" ht="12.75" x14ac:dyDescent="0.2">
      <c r="A99" s="38">
        <v>37257</v>
      </c>
      <c r="B99" s="40">
        <v>14.25</v>
      </c>
      <c r="C99" s="60"/>
      <c r="D99" s="60"/>
      <c r="E99" s="60"/>
      <c r="F99" s="9"/>
      <c r="G99" s="9"/>
      <c r="H99" s="9"/>
      <c r="I99" s="9"/>
      <c r="J99" s="9"/>
      <c r="K99" s="9"/>
      <c r="L99" s="9"/>
    </row>
    <row r="100" spans="1:12" ht="12.75" x14ac:dyDescent="0.2">
      <c r="A100" s="38">
        <v>37293</v>
      </c>
      <c r="B100" s="40">
        <v>14</v>
      </c>
      <c r="C100" s="60"/>
      <c r="D100" s="60"/>
      <c r="E100" s="60"/>
      <c r="F100" s="9"/>
      <c r="G100" s="9"/>
      <c r="H100" s="9"/>
      <c r="I100" s="9"/>
      <c r="J100" s="9"/>
      <c r="K100" s="9"/>
      <c r="L100" s="9"/>
    </row>
    <row r="101" spans="1:12" ht="12.75" x14ac:dyDescent="0.2">
      <c r="A101" s="38">
        <v>37301</v>
      </c>
      <c r="B101" s="40">
        <v>13.75</v>
      </c>
      <c r="C101" s="60"/>
      <c r="D101" s="60"/>
      <c r="E101" s="60"/>
      <c r="F101" s="9"/>
      <c r="G101" s="9"/>
      <c r="H101" s="9"/>
      <c r="I101" s="9"/>
      <c r="J101" s="9"/>
      <c r="K101" s="9"/>
      <c r="L101" s="9"/>
    </row>
    <row r="102" spans="1:12" ht="12.75" x14ac:dyDescent="0.2">
      <c r="A102" s="38">
        <v>37316</v>
      </c>
      <c r="B102" s="40">
        <v>13.25</v>
      </c>
      <c r="C102" s="60"/>
      <c r="D102" s="60"/>
      <c r="E102" s="60"/>
      <c r="F102" s="9"/>
      <c r="G102" s="9"/>
      <c r="H102" s="9"/>
      <c r="I102" s="9"/>
      <c r="J102" s="9"/>
      <c r="K102" s="9"/>
      <c r="L102" s="9"/>
    </row>
    <row r="103" spans="1:12" ht="12.75" x14ac:dyDescent="0.2">
      <c r="A103" s="38">
        <v>37347</v>
      </c>
      <c r="B103" s="40">
        <v>13.25</v>
      </c>
      <c r="C103" s="60"/>
      <c r="D103" s="60"/>
      <c r="E103" s="60"/>
      <c r="F103" s="9"/>
      <c r="G103" s="9"/>
      <c r="H103" s="9"/>
      <c r="I103" s="9"/>
      <c r="J103" s="9"/>
      <c r="K103" s="9"/>
      <c r="L103" s="9"/>
    </row>
    <row r="104" spans="1:12" ht="12.75" x14ac:dyDescent="0.2">
      <c r="A104" s="38">
        <v>37377</v>
      </c>
      <c r="B104" s="40">
        <v>13.25</v>
      </c>
      <c r="C104" s="60"/>
      <c r="D104" s="60"/>
      <c r="E104" s="60"/>
      <c r="F104" s="9"/>
      <c r="G104" s="9"/>
      <c r="H104" s="9"/>
      <c r="I104" s="9"/>
      <c r="J104" s="9"/>
      <c r="K104" s="9"/>
      <c r="L104" s="9"/>
    </row>
    <row r="105" spans="1:12" ht="12.75" x14ac:dyDescent="0.2">
      <c r="A105" s="38">
        <v>37408</v>
      </c>
      <c r="B105" s="40">
        <v>13.25</v>
      </c>
      <c r="C105" s="60"/>
      <c r="D105" s="60"/>
      <c r="E105" s="60"/>
      <c r="F105" s="9"/>
      <c r="G105" s="9"/>
      <c r="H105" s="9"/>
      <c r="I105" s="9"/>
      <c r="J105" s="9"/>
      <c r="K105" s="9"/>
      <c r="L105" s="9"/>
    </row>
    <row r="106" spans="1:12" ht="12.75" x14ac:dyDescent="0.2">
      <c r="A106" s="38">
        <v>37438</v>
      </c>
      <c r="B106" s="40">
        <v>12.95</v>
      </c>
      <c r="C106" s="60"/>
      <c r="D106" s="60"/>
      <c r="E106" s="60"/>
      <c r="F106" s="9"/>
      <c r="G106" s="9"/>
      <c r="H106" s="9"/>
      <c r="I106" s="9"/>
      <c r="J106" s="9"/>
      <c r="K106" s="9"/>
      <c r="L106" s="9"/>
    </row>
    <row r="107" spans="1:12" ht="12.75" x14ac:dyDescent="0.2">
      <c r="A107" s="38">
        <v>37469</v>
      </c>
      <c r="B107" s="40">
        <v>12.95</v>
      </c>
      <c r="C107" s="60"/>
      <c r="D107" s="60"/>
      <c r="E107" s="60"/>
      <c r="F107" s="9"/>
      <c r="G107" s="9"/>
      <c r="H107" s="9"/>
      <c r="I107" s="9"/>
      <c r="J107" s="9"/>
      <c r="K107" s="9"/>
      <c r="L107" s="9"/>
    </row>
    <row r="108" spans="1:12" ht="12.75" x14ac:dyDescent="0.2">
      <c r="A108" s="38">
        <v>37500</v>
      </c>
      <c r="B108" s="40">
        <v>12.95</v>
      </c>
      <c r="C108" s="60"/>
      <c r="D108" s="60"/>
      <c r="E108" s="60"/>
      <c r="F108" s="9"/>
      <c r="G108" s="9"/>
      <c r="H108" s="9"/>
      <c r="I108" s="9"/>
      <c r="J108" s="9"/>
      <c r="K108" s="9"/>
      <c r="L108" s="9"/>
    </row>
    <row r="109" spans="1:12" ht="12.75" x14ac:dyDescent="0.2">
      <c r="A109" s="38">
        <v>37538</v>
      </c>
      <c r="B109" s="40">
        <v>12.95</v>
      </c>
      <c r="C109" s="60"/>
      <c r="D109" s="60"/>
      <c r="E109" s="60"/>
      <c r="F109" s="9"/>
      <c r="G109" s="9"/>
      <c r="H109" s="9"/>
      <c r="I109" s="9"/>
      <c r="J109" s="9"/>
      <c r="K109" s="9"/>
      <c r="L109" s="9"/>
    </row>
    <row r="110" spans="1:12" ht="12.75" x14ac:dyDescent="0.2">
      <c r="A110" s="38">
        <v>37557</v>
      </c>
      <c r="B110" s="40">
        <v>12.95</v>
      </c>
      <c r="C110" s="60"/>
      <c r="D110" s="60"/>
      <c r="E110" s="60"/>
      <c r="F110" s="9"/>
      <c r="G110" s="9"/>
      <c r="H110" s="9"/>
      <c r="I110" s="9"/>
      <c r="J110" s="9"/>
      <c r="K110" s="9"/>
      <c r="L110" s="9"/>
    </row>
    <row r="111" spans="1:12" ht="12.75" x14ac:dyDescent="0.2">
      <c r="A111" s="38">
        <v>37561</v>
      </c>
      <c r="B111" s="40">
        <v>12.95</v>
      </c>
      <c r="C111" s="60"/>
      <c r="D111" s="60"/>
      <c r="E111" s="60"/>
      <c r="F111" s="9"/>
      <c r="G111" s="9"/>
      <c r="H111" s="9"/>
      <c r="I111" s="9"/>
      <c r="J111" s="9"/>
      <c r="K111" s="9"/>
      <c r="L111" s="9"/>
    </row>
    <row r="112" spans="1:12" ht="12.75" x14ac:dyDescent="0.2">
      <c r="A112" s="38">
        <v>37591</v>
      </c>
      <c r="B112" s="40">
        <v>12.95</v>
      </c>
      <c r="C112" s="60"/>
      <c r="D112" s="60"/>
      <c r="E112" s="60"/>
      <c r="F112" s="9"/>
      <c r="G112" s="9"/>
      <c r="H112" s="9"/>
      <c r="I112" s="9"/>
      <c r="J112" s="9"/>
      <c r="K112" s="9"/>
      <c r="L112" s="9"/>
    </row>
    <row r="113" spans="1:12" ht="12.75" x14ac:dyDescent="0.2">
      <c r="A113" s="38">
        <v>37622</v>
      </c>
      <c r="B113" s="40">
        <v>12.95</v>
      </c>
      <c r="C113" s="60"/>
      <c r="D113" s="60"/>
      <c r="E113" s="60"/>
      <c r="F113" s="9"/>
      <c r="G113" s="9"/>
      <c r="H113" s="9"/>
      <c r="I113" s="9"/>
      <c r="J113" s="9"/>
      <c r="K113" s="9"/>
      <c r="L113" s="9"/>
    </row>
    <row r="114" spans="1:12" ht="12.75" x14ac:dyDescent="0.2">
      <c r="A114" s="38">
        <v>37653</v>
      </c>
      <c r="B114" s="40">
        <v>12.95</v>
      </c>
      <c r="C114" s="60"/>
      <c r="D114" s="60"/>
      <c r="E114" s="60"/>
      <c r="F114" s="9"/>
      <c r="G114" s="9"/>
      <c r="H114" s="9"/>
      <c r="I114" s="9"/>
      <c r="J114" s="9"/>
      <c r="K114" s="9"/>
      <c r="L114" s="9"/>
    </row>
    <row r="115" spans="1:12" ht="12.75" x14ac:dyDescent="0.2">
      <c r="A115" s="38">
        <v>37699</v>
      </c>
      <c r="B115" s="40">
        <v>12.95</v>
      </c>
      <c r="C115" s="60"/>
      <c r="D115" s="60"/>
      <c r="E115" s="60"/>
      <c r="F115" s="9"/>
      <c r="G115" s="9"/>
      <c r="H115" s="9"/>
      <c r="I115" s="9"/>
      <c r="J115" s="9"/>
      <c r="K115" s="9"/>
      <c r="L115" s="9"/>
    </row>
    <row r="116" spans="1:12" ht="12.75" x14ac:dyDescent="0.2">
      <c r="A116" s="38">
        <v>37706</v>
      </c>
      <c r="B116" s="40">
        <v>15</v>
      </c>
      <c r="C116" s="60"/>
      <c r="D116" s="60"/>
      <c r="E116" s="60"/>
      <c r="F116" s="9"/>
      <c r="G116" s="9"/>
      <c r="H116" s="9"/>
      <c r="I116" s="9"/>
      <c r="J116" s="9"/>
      <c r="K116" s="9"/>
      <c r="L116" s="9"/>
    </row>
    <row r="117" spans="1:12" ht="12.75" x14ac:dyDescent="0.2">
      <c r="A117" s="38">
        <v>37712</v>
      </c>
      <c r="B117" s="40">
        <v>15</v>
      </c>
      <c r="C117" s="60"/>
      <c r="D117" s="60"/>
      <c r="E117" s="60"/>
      <c r="F117" s="9"/>
      <c r="G117" s="9"/>
      <c r="H117" s="9"/>
      <c r="I117" s="9"/>
      <c r="J117" s="9"/>
      <c r="K117" s="9"/>
      <c r="L117" s="9"/>
    </row>
    <row r="118" spans="1:12" ht="12.75" x14ac:dyDescent="0.2">
      <c r="A118" s="38">
        <v>37742</v>
      </c>
      <c r="B118" s="40">
        <v>15</v>
      </c>
      <c r="C118" s="60"/>
      <c r="D118" s="60"/>
      <c r="E118" s="60"/>
      <c r="F118" s="9"/>
      <c r="G118" s="9"/>
      <c r="H118" s="9"/>
      <c r="I118" s="9"/>
      <c r="J118" s="9"/>
      <c r="K118" s="9"/>
      <c r="L118" s="9"/>
    </row>
    <row r="119" spans="1:12" ht="12.75" x14ac:dyDescent="0.2">
      <c r="A119" s="38">
        <v>37773</v>
      </c>
      <c r="B119" s="40">
        <v>15</v>
      </c>
      <c r="C119" s="60"/>
      <c r="D119" s="60"/>
      <c r="E119" s="60"/>
      <c r="F119" s="9"/>
      <c r="G119" s="9"/>
      <c r="H119" s="9"/>
      <c r="I119" s="9"/>
      <c r="J119" s="9"/>
      <c r="K119" s="9"/>
      <c r="L119" s="9"/>
    </row>
    <row r="120" spans="1:12" ht="12.75" x14ac:dyDescent="0.2">
      <c r="A120" s="38">
        <v>37803</v>
      </c>
      <c r="B120" s="40">
        <v>15</v>
      </c>
      <c r="C120" s="60"/>
      <c r="D120" s="60"/>
      <c r="E120" s="60"/>
      <c r="F120" s="9"/>
      <c r="G120" s="9"/>
      <c r="H120" s="9"/>
      <c r="I120" s="9"/>
      <c r="J120" s="9"/>
      <c r="K120" s="9"/>
      <c r="L120" s="9"/>
    </row>
    <row r="121" spans="1:12" ht="12.75" x14ac:dyDescent="0.2">
      <c r="A121" s="38">
        <v>37834</v>
      </c>
      <c r="B121" s="40">
        <v>15</v>
      </c>
      <c r="C121" s="60"/>
      <c r="D121" s="60"/>
      <c r="E121" s="60"/>
      <c r="F121" s="9"/>
      <c r="G121" s="9"/>
      <c r="H121" s="9"/>
      <c r="I121" s="9"/>
      <c r="J121" s="9"/>
      <c r="K121" s="9"/>
      <c r="L121" s="9"/>
    </row>
    <row r="122" spans="1:12" ht="12.75" x14ac:dyDescent="0.2">
      <c r="A122" s="38">
        <v>37865</v>
      </c>
      <c r="B122" s="40">
        <v>15</v>
      </c>
      <c r="C122" s="60"/>
      <c r="D122" s="60"/>
      <c r="E122" s="60"/>
      <c r="F122" s="9"/>
      <c r="G122" s="9"/>
      <c r="H122" s="9"/>
      <c r="I122" s="9"/>
      <c r="J122" s="9"/>
      <c r="K122" s="9"/>
      <c r="L122" s="9"/>
    </row>
    <row r="123" spans="1:12" ht="12.75" x14ac:dyDescent="0.2">
      <c r="A123" s="38">
        <v>37895</v>
      </c>
      <c r="B123" s="40">
        <v>15</v>
      </c>
      <c r="C123" s="60"/>
      <c r="D123" s="60"/>
      <c r="E123" s="60"/>
      <c r="F123" s="9"/>
      <c r="G123" s="9"/>
      <c r="H123" s="9"/>
      <c r="I123" s="9"/>
      <c r="J123" s="9"/>
      <c r="K123" s="9"/>
      <c r="L123" s="9"/>
    </row>
    <row r="124" spans="1:12" ht="12.75" x14ac:dyDescent="0.2">
      <c r="A124" s="38">
        <v>37926</v>
      </c>
      <c r="B124" s="40">
        <v>15</v>
      </c>
      <c r="C124" s="60"/>
      <c r="D124" s="60"/>
      <c r="E124" s="60"/>
      <c r="F124" s="9"/>
      <c r="G124" s="9"/>
      <c r="H124" s="9"/>
      <c r="I124" s="9"/>
      <c r="J124" s="9"/>
      <c r="K124" s="9"/>
      <c r="L124" s="9"/>
    </row>
    <row r="125" spans="1:12" ht="12.75" x14ac:dyDescent="0.2">
      <c r="A125" s="38">
        <v>37956</v>
      </c>
      <c r="B125" s="40">
        <v>15</v>
      </c>
      <c r="C125" s="60"/>
      <c r="D125" s="60"/>
      <c r="E125" s="60"/>
      <c r="F125" s="9"/>
      <c r="G125" s="9"/>
      <c r="H125" s="9"/>
      <c r="I125" s="9"/>
      <c r="J125" s="9"/>
      <c r="K125" s="9"/>
      <c r="L125" s="9"/>
    </row>
    <row r="126" spans="1:12" ht="12.75" x14ac:dyDescent="0.2">
      <c r="A126" s="38">
        <v>37995</v>
      </c>
      <c r="B126" s="41">
        <v>15</v>
      </c>
      <c r="C126" s="61"/>
      <c r="D126" s="61"/>
      <c r="E126" s="61"/>
      <c r="F126" s="9"/>
      <c r="G126" s="9"/>
      <c r="H126" s="9"/>
      <c r="I126" s="9"/>
      <c r="J126" s="9"/>
      <c r="K126" s="9"/>
      <c r="L126" s="9"/>
    </row>
    <row r="127" spans="1:12" ht="12.75" x14ac:dyDescent="0.2">
      <c r="A127" s="38">
        <v>38007</v>
      </c>
      <c r="B127" s="41">
        <v>15</v>
      </c>
      <c r="C127" s="61"/>
      <c r="D127" s="61"/>
      <c r="E127" s="61"/>
      <c r="F127" s="9"/>
      <c r="G127" s="9"/>
      <c r="H127" s="9"/>
      <c r="I127" s="9"/>
      <c r="J127" s="9"/>
      <c r="K127" s="9"/>
      <c r="L127" s="9"/>
    </row>
    <row r="128" spans="1:12" ht="12.75" x14ac:dyDescent="0.2">
      <c r="A128" s="38">
        <v>38012</v>
      </c>
      <c r="B128" s="41">
        <v>14.85</v>
      </c>
      <c r="C128" s="61"/>
      <c r="D128" s="61"/>
      <c r="E128" s="61"/>
      <c r="F128" s="9"/>
      <c r="G128" s="9"/>
      <c r="H128" s="9"/>
      <c r="I128" s="9"/>
      <c r="J128" s="9"/>
      <c r="K128" s="9"/>
      <c r="L128" s="9"/>
    </row>
    <row r="129" spans="1:12" ht="12.75" x14ac:dyDescent="0.2">
      <c r="A129" s="38">
        <v>38033</v>
      </c>
      <c r="B129" s="42">
        <v>14.85</v>
      </c>
      <c r="C129" s="62"/>
      <c r="D129" s="62"/>
      <c r="E129" s="62"/>
      <c r="F129" s="9"/>
      <c r="G129" s="9"/>
      <c r="H129" s="9"/>
      <c r="I129" s="9"/>
      <c r="J129" s="9"/>
      <c r="K129" s="9"/>
      <c r="L129" s="9"/>
    </row>
    <row r="130" spans="1:12" ht="12.75" x14ac:dyDescent="0.2">
      <c r="A130" s="38">
        <v>38044</v>
      </c>
      <c r="B130" s="42">
        <v>14.85</v>
      </c>
      <c r="C130" s="62"/>
      <c r="D130" s="62"/>
      <c r="E130" s="62"/>
      <c r="F130" s="9"/>
      <c r="G130" s="9"/>
      <c r="H130" s="9"/>
      <c r="I130" s="9"/>
      <c r="J130" s="9"/>
      <c r="K130" s="9"/>
      <c r="L130" s="9"/>
    </row>
    <row r="131" spans="1:12" ht="12.75" x14ac:dyDescent="0.2">
      <c r="A131" s="38">
        <v>38047</v>
      </c>
      <c r="B131" s="40">
        <v>14.85</v>
      </c>
      <c r="C131" s="60"/>
      <c r="D131" s="60"/>
      <c r="E131" s="60"/>
      <c r="F131" s="9"/>
      <c r="G131" s="9"/>
      <c r="H131" s="9"/>
      <c r="I131" s="9"/>
      <c r="J131" s="9"/>
      <c r="K131" s="9"/>
      <c r="L131" s="9"/>
    </row>
    <row r="132" spans="1:12" ht="12.75" x14ac:dyDescent="0.2">
      <c r="A132" s="38">
        <v>38079</v>
      </c>
      <c r="B132" s="41">
        <v>14.6</v>
      </c>
      <c r="C132" s="61"/>
      <c r="D132" s="61"/>
      <c r="E132" s="61"/>
      <c r="F132" s="9"/>
      <c r="G132" s="9"/>
      <c r="H132" s="9"/>
      <c r="I132" s="9"/>
      <c r="J132" s="9"/>
      <c r="K132" s="9"/>
      <c r="L132" s="9"/>
    </row>
    <row r="133" spans="1:12" ht="12.75" x14ac:dyDescent="0.2">
      <c r="A133" s="38">
        <v>38096</v>
      </c>
      <c r="B133" s="41">
        <v>14.4</v>
      </c>
      <c r="C133" s="61"/>
      <c r="D133" s="61"/>
      <c r="E133" s="61"/>
      <c r="F133" s="9"/>
      <c r="G133" s="9"/>
      <c r="H133" s="9"/>
      <c r="I133" s="9"/>
      <c r="J133" s="9"/>
      <c r="K133" s="9"/>
      <c r="L133" s="9"/>
    </row>
    <row r="134" spans="1:12" ht="12.75" x14ac:dyDescent="0.2">
      <c r="A134" s="38">
        <v>38106</v>
      </c>
      <c r="B134" s="41">
        <v>14.4</v>
      </c>
      <c r="C134" s="61"/>
      <c r="D134" s="61"/>
      <c r="E134" s="61"/>
      <c r="F134" s="9"/>
      <c r="G134" s="9"/>
      <c r="H134" s="9"/>
      <c r="I134" s="9"/>
      <c r="J134" s="9"/>
      <c r="K134" s="9"/>
      <c r="L134" s="9"/>
    </row>
    <row r="135" spans="1:12" ht="12.75" x14ac:dyDescent="0.2">
      <c r="A135" s="38">
        <v>38108</v>
      </c>
      <c r="B135" s="40">
        <v>14.2</v>
      </c>
      <c r="C135" s="60"/>
      <c r="D135" s="60"/>
      <c r="E135" s="60"/>
      <c r="F135" s="9"/>
      <c r="G135" s="9"/>
      <c r="H135" s="9"/>
      <c r="I135" s="9"/>
      <c r="J135" s="9"/>
      <c r="K135" s="9"/>
      <c r="L135" s="9"/>
    </row>
    <row r="136" spans="1:12" ht="12.75" x14ac:dyDescent="0.2">
      <c r="A136" s="38">
        <v>38139</v>
      </c>
      <c r="B136" s="40">
        <v>14.2</v>
      </c>
      <c r="C136" s="60"/>
      <c r="D136" s="60"/>
      <c r="E136" s="60"/>
      <c r="F136" s="9"/>
      <c r="G136" s="9"/>
      <c r="H136" s="9"/>
      <c r="I136" s="9"/>
      <c r="J136" s="9"/>
      <c r="K136" s="9"/>
      <c r="L136" s="9"/>
    </row>
    <row r="137" spans="1:12" ht="12.75" x14ac:dyDescent="0.2">
      <c r="A137" s="38">
        <v>38169</v>
      </c>
      <c r="B137" s="40">
        <v>14.2</v>
      </c>
      <c r="C137" s="60"/>
      <c r="D137" s="60"/>
      <c r="E137" s="60"/>
      <c r="F137" s="9"/>
      <c r="G137" s="9"/>
      <c r="H137" s="9"/>
      <c r="I137" s="9"/>
      <c r="J137" s="9"/>
      <c r="K137" s="9"/>
      <c r="L137" s="9"/>
    </row>
    <row r="138" spans="1:12" ht="12.75" x14ac:dyDescent="0.2">
      <c r="A138" s="38">
        <v>38200</v>
      </c>
      <c r="B138" s="40">
        <v>14.2</v>
      </c>
      <c r="C138" s="60"/>
      <c r="D138" s="60"/>
      <c r="E138" s="60"/>
      <c r="F138" s="9"/>
      <c r="G138" s="9"/>
      <c r="H138" s="9"/>
      <c r="I138" s="9"/>
      <c r="J138" s="9"/>
      <c r="K138" s="9"/>
      <c r="L138" s="9"/>
    </row>
    <row r="139" spans="1:12" ht="12.75" x14ac:dyDescent="0.2">
      <c r="A139" s="38">
        <v>38231</v>
      </c>
      <c r="B139" s="40">
        <v>14</v>
      </c>
      <c r="C139" s="60"/>
      <c r="D139" s="60"/>
      <c r="E139" s="60"/>
      <c r="F139" s="9"/>
      <c r="G139" s="9"/>
      <c r="H139" s="9"/>
      <c r="I139" s="9"/>
      <c r="J139" s="9"/>
      <c r="K139" s="9"/>
      <c r="L139" s="9"/>
    </row>
    <row r="140" spans="1:12" ht="12.75" x14ac:dyDescent="0.2">
      <c r="A140" s="38">
        <v>38261</v>
      </c>
      <c r="B140" s="40">
        <v>14</v>
      </c>
      <c r="C140" s="60"/>
      <c r="D140" s="60"/>
      <c r="E140" s="60"/>
      <c r="F140" s="9"/>
      <c r="G140" s="9"/>
      <c r="H140" s="9"/>
      <c r="I140" s="9"/>
      <c r="J140" s="9"/>
      <c r="K140" s="9"/>
      <c r="L140" s="9"/>
    </row>
    <row r="141" spans="1:12" ht="12.75" x14ac:dyDescent="0.2">
      <c r="A141" s="38">
        <v>38292</v>
      </c>
      <c r="B141" s="40">
        <v>14</v>
      </c>
      <c r="C141" s="60"/>
      <c r="D141" s="60"/>
      <c r="E141" s="60"/>
      <c r="F141" s="9"/>
      <c r="G141" s="9"/>
      <c r="H141" s="9"/>
      <c r="I141" s="9"/>
      <c r="J141" s="9"/>
      <c r="K141" s="9"/>
      <c r="L141" s="9"/>
    </row>
    <row r="142" spans="1:12" ht="12.75" x14ac:dyDescent="0.2">
      <c r="A142" s="38">
        <v>38322</v>
      </c>
      <c r="B142" s="40">
        <v>13.8</v>
      </c>
      <c r="C142" s="60"/>
      <c r="D142" s="60"/>
      <c r="E142" s="60"/>
      <c r="F142" s="9"/>
      <c r="G142" s="9"/>
      <c r="H142" s="9"/>
      <c r="I142" s="9"/>
      <c r="J142" s="9"/>
      <c r="K142" s="9"/>
      <c r="L142" s="9"/>
    </row>
    <row r="143" spans="1:12" ht="12.75" x14ac:dyDescent="0.2">
      <c r="A143" s="38">
        <v>38353</v>
      </c>
      <c r="B143" s="40">
        <v>13.8</v>
      </c>
      <c r="C143" s="60"/>
      <c r="D143" s="60"/>
      <c r="E143" s="60"/>
      <c r="F143" s="9"/>
      <c r="G143" s="9"/>
      <c r="H143" s="9"/>
      <c r="I143" s="9"/>
      <c r="J143" s="9"/>
      <c r="K143" s="9"/>
      <c r="L143" s="9"/>
    </row>
    <row r="144" spans="1:12" ht="12.75" x14ac:dyDescent="0.2">
      <c r="A144" s="38">
        <v>38384</v>
      </c>
      <c r="B144" s="40">
        <v>13.5</v>
      </c>
      <c r="C144" s="60"/>
      <c r="D144" s="60"/>
      <c r="E144" s="60"/>
      <c r="F144" s="9"/>
      <c r="G144" s="9"/>
      <c r="H144" s="9"/>
      <c r="I144" s="9"/>
      <c r="J144" s="9"/>
      <c r="K144" s="9"/>
      <c r="L144" s="9"/>
    </row>
    <row r="145" spans="1:12" ht="12.75" x14ac:dyDescent="0.2">
      <c r="A145" s="38">
        <v>38412</v>
      </c>
      <c r="B145" s="40">
        <v>12.95</v>
      </c>
      <c r="C145" s="60"/>
      <c r="D145" s="60"/>
      <c r="E145" s="60"/>
      <c r="F145" s="9"/>
      <c r="G145" s="9"/>
      <c r="H145" s="9"/>
      <c r="I145" s="9"/>
      <c r="J145" s="9"/>
      <c r="K145" s="9"/>
      <c r="L145" s="9"/>
    </row>
    <row r="146" spans="1:12" ht="12.75" x14ac:dyDescent="0.2">
      <c r="A146" s="38">
        <v>38443</v>
      </c>
      <c r="B146" s="40">
        <v>12.95</v>
      </c>
      <c r="C146" s="60"/>
      <c r="D146" s="60"/>
      <c r="E146" s="60"/>
      <c r="F146" s="9"/>
      <c r="G146" s="9"/>
      <c r="H146" s="9"/>
      <c r="I146" s="9"/>
      <c r="J146" s="9"/>
      <c r="K146" s="9"/>
      <c r="L146" s="9"/>
    </row>
    <row r="147" spans="1:12" ht="12.75" x14ac:dyDescent="0.2">
      <c r="A147" s="38">
        <v>38473</v>
      </c>
      <c r="B147" s="40">
        <v>12.6</v>
      </c>
      <c r="C147" s="60"/>
      <c r="D147" s="60"/>
      <c r="E147" s="60"/>
      <c r="F147" s="9"/>
      <c r="G147" s="9"/>
      <c r="H147" s="9"/>
      <c r="I147" s="9"/>
      <c r="J147" s="9"/>
      <c r="K147" s="9"/>
      <c r="L147" s="9"/>
    </row>
    <row r="148" spans="1:12" ht="12.75" x14ac:dyDescent="0.2">
      <c r="A148" s="38">
        <v>38504</v>
      </c>
      <c r="B148" s="40">
        <v>12.6</v>
      </c>
      <c r="C148" s="60"/>
      <c r="D148" s="60"/>
      <c r="E148" s="60"/>
      <c r="F148" s="9"/>
      <c r="G148" s="9"/>
      <c r="H148" s="9"/>
      <c r="I148" s="9"/>
      <c r="J148" s="9"/>
      <c r="K148" s="9"/>
      <c r="L148" s="9"/>
    </row>
    <row r="149" spans="1:12" ht="12.75" x14ac:dyDescent="0.2">
      <c r="A149" s="38">
        <v>38534</v>
      </c>
      <c r="B149" s="40">
        <v>12.6</v>
      </c>
      <c r="C149" s="60"/>
      <c r="D149" s="60"/>
      <c r="E149" s="60"/>
      <c r="F149" s="9"/>
      <c r="G149" s="9"/>
      <c r="H149" s="9"/>
      <c r="I149" s="9"/>
      <c r="J149" s="9"/>
      <c r="K149" s="9"/>
      <c r="L149" s="9"/>
    </row>
    <row r="150" spans="1:12" ht="12.75" x14ac:dyDescent="0.2">
      <c r="A150" s="38">
        <v>38565</v>
      </c>
      <c r="B150" s="40">
        <v>12.6</v>
      </c>
      <c r="C150" s="60"/>
      <c r="D150" s="60"/>
      <c r="E150" s="60"/>
      <c r="F150" s="9"/>
      <c r="G150" s="9"/>
      <c r="H150" s="9"/>
      <c r="I150" s="9"/>
      <c r="J150" s="9"/>
      <c r="K150" s="9"/>
      <c r="L150" s="9"/>
    </row>
    <row r="151" spans="1:12" ht="12.75" x14ac:dyDescent="0.2">
      <c r="A151" s="38">
        <v>38596</v>
      </c>
      <c r="B151" s="40">
        <v>12.6</v>
      </c>
      <c r="C151" s="60"/>
      <c r="D151" s="60"/>
      <c r="E151" s="60"/>
      <c r="F151" s="9"/>
      <c r="G151" s="9"/>
      <c r="H151" s="9"/>
      <c r="I151" s="9"/>
      <c r="J151" s="9"/>
      <c r="K151" s="9"/>
      <c r="L151" s="9"/>
    </row>
    <row r="152" spans="1:12" ht="12.75" x14ac:dyDescent="0.2">
      <c r="A152" s="38">
        <v>38626</v>
      </c>
      <c r="B152" s="40">
        <v>12.6</v>
      </c>
      <c r="C152" s="60"/>
      <c r="D152" s="60"/>
      <c r="E152" s="60"/>
      <c r="F152" s="9"/>
      <c r="G152" s="9"/>
      <c r="H152" s="9"/>
      <c r="I152" s="9"/>
      <c r="J152" s="9"/>
      <c r="K152" s="9"/>
      <c r="L152" s="9"/>
    </row>
    <row r="153" spans="1:12" ht="12.75" x14ac:dyDescent="0.2">
      <c r="A153" s="38">
        <v>38657</v>
      </c>
      <c r="B153" s="40">
        <v>12.6</v>
      </c>
      <c r="C153" s="60"/>
      <c r="D153" s="60"/>
      <c r="E153" s="60"/>
      <c r="F153" s="9"/>
      <c r="G153" s="9"/>
      <c r="H153" s="9"/>
      <c r="I153" s="9"/>
      <c r="J153" s="9"/>
      <c r="K153" s="9"/>
      <c r="L153" s="9"/>
    </row>
    <row r="154" spans="1:12" ht="12.75" x14ac:dyDescent="0.2">
      <c r="A154" s="38">
        <v>38687</v>
      </c>
      <c r="B154" s="40">
        <v>12.6</v>
      </c>
      <c r="C154" s="60"/>
      <c r="D154" s="60"/>
      <c r="E154" s="60"/>
      <c r="F154" s="9"/>
      <c r="G154" s="9"/>
      <c r="H154" s="9"/>
      <c r="I154" s="9"/>
      <c r="J154" s="9"/>
      <c r="K154" s="9"/>
      <c r="L154" s="9"/>
    </row>
    <row r="155" spans="1:12" ht="12.75" x14ac:dyDescent="0.2">
      <c r="A155" s="38">
        <v>38718</v>
      </c>
      <c r="B155" s="40">
        <v>12.6</v>
      </c>
      <c r="C155" s="60"/>
      <c r="D155" s="60"/>
      <c r="E155" s="60"/>
      <c r="F155" s="9"/>
      <c r="G155" s="9"/>
      <c r="H155" s="9"/>
      <c r="I155" s="9"/>
      <c r="J155" s="9"/>
      <c r="K155" s="9"/>
      <c r="L155" s="9"/>
    </row>
    <row r="156" spans="1:12" ht="12.75" x14ac:dyDescent="0.2">
      <c r="A156" s="38">
        <v>38749</v>
      </c>
      <c r="B156" s="40">
        <v>12.6</v>
      </c>
      <c r="C156" s="60"/>
      <c r="D156" s="60"/>
      <c r="E156" s="60"/>
      <c r="F156" s="9"/>
      <c r="G156" s="9"/>
      <c r="H156" s="9"/>
      <c r="I156" s="9"/>
      <c r="J156" s="9"/>
      <c r="K156" s="9"/>
      <c r="L156" s="9"/>
    </row>
    <row r="157" spans="1:12" ht="12.75" x14ac:dyDescent="0.2">
      <c r="A157" s="38">
        <v>38777</v>
      </c>
      <c r="B157" s="40">
        <v>12.6</v>
      </c>
      <c r="C157" s="60"/>
      <c r="D157" s="60"/>
      <c r="E157" s="60"/>
      <c r="F157" s="9"/>
      <c r="G157" s="9"/>
      <c r="H157" s="9"/>
      <c r="I157" s="9"/>
      <c r="J157" s="9"/>
      <c r="K157" s="9"/>
      <c r="L157" s="9"/>
    </row>
    <row r="158" spans="1:12" ht="12.75" x14ac:dyDescent="0.2">
      <c r="A158" s="38">
        <v>38808</v>
      </c>
      <c r="B158" s="40">
        <v>12.6</v>
      </c>
      <c r="C158" s="60"/>
      <c r="D158" s="60"/>
      <c r="E158" s="60"/>
      <c r="F158" s="9"/>
      <c r="G158" s="9"/>
      <c r="H158" s="9"/>
      <c r="I158" s="9"/>
      <c r="J158" s="9"/>
      <c r="K158" s="9"/>
      <c r="L158" s="9"/>
    </row>
    <row r="159" spans="1:12" ht="12.75" x14ac:dyDescent="0.2">
      <c r="A159" s="38">
        <v>38838</v>
      </c>
      <c r="B159" s="40">
        <v>12.45</v>
      </c>
      <c r="C159" s="60"/>
      <c r="D159" s="60"/>
      <c r="E159" s="60"/>
      <c r="F159" s="9"/>
      <c r="G159" s="9"/>
      <c r="H159" s="9"/>
      <c r="I159" s="9"/>
      <c r="J159" s="9"/>
      <c r="K159" s="9"/>
      <c r="L159" s="9"/>
    </row>
    <row r="160" spans="1:12" ht="12.75" x14ac:dyDescent="0.2">
      <c r="A160" s="38">
        <v>38869</v>
      </c>
      <c r="B160" s="40">
        <v>12.45</v>
      </c>
      <c r="C160" s="60"/>
      <c r="D160" s="60"/>
      <c r="E160" s="60"/>
      <c r="F160" s="9"/>
      <c r="G160" s="9"/>
      <c r="H160" s="9"/>
      <c r="I160" s="9"/>
      <c r="J160" s="9"/>
      <c r="K160" s="9"/>
      <c r="L160" s="9"/>
    </row>
    <row r="161" spans="1:12" ht="12.75" x14ac:dyDescent="0.2">
      <c r="A161" s="38">
        <v>38899</v>
      </c>
      <c r="B161" s="40">
        <v>12.45</v>
      </c>
      <c r="C161" s="60"/>
      <c r="D161" s="60"/>
      <c r="E161" s="60"/>
      <c r="F161" s="9"/>
      <c r="G161" s="9"/>
      <c r="H161" s="9"/>
      <c r="I161" s="9"/>
      <c r="J161" s="9"/>
      <c r="K161" s="9"/>
      <c r="L161" s="9"/>
    </row>
    <row r="162" spans="1:12" ht="12.75" x14ac:dyDescent="0.2">
      <c r="A162" s="38">
        <v>38930</v>
      </c>
      <c r="B162" s="40">
        <v>12.45</v>
      </c>
      <c r="C162" s="60"/>
      <c r="D162" s="60"/>
      <c r="E162" s="60"/>
      <c r="F162" s="9"/>
      <c r="G162" s="9"/>
      <c r="H162" s="9"/>
      <c r="I162" s="9"/>
      <c r="J162" s="9"/>
      <c r="K162" s="9"/>
      <c r="L162" s="9"/>
    </row>
    <row r="163" spans="1:12" ht="12.75" x14ac:dyDescent="0.2">
      <c r="A163" s="38">
        <v>38961</v>
      </c>
      <c r="B163" s="42">
        <v>12.15</v>
      </c>
      <c r="C163" s="62"/>
      <c r="D163" s="62"/>
      <c r="E163" s="62"/>
      <c r="F163" s="9"/>
      <c r="G163" s="9"/>
      <c r="H163" s="9"/>
      <c r="I163" s="9"/>
      <c r="J163" s="9"/>
      <c r="K163" s="9"/>
      <c r="L163" s="9"/>
    </row>
    <row r="164" spans="1:12" ht="12.75" x14ac:dyDescent="0.2">
      <c r="A164" s="38">
        <v>38982</v>
      </c>
      <c r="B164" s="42">
        <v>11.95</v>
      </c>
      <c r="C164" s="62"/>
      <c r="D164" s="62"/>
      <c r="E164" s="62"/>
      <c r="F164" s="9"/>
      <c r="G164" s="9"/>
      <c r="H164" s="9"/>
      <c r="I164" s="9"/>
      <c r="J164" s="9"/>
      <c r="K164" s="9"/>
      <c r="L164" s="9"/>
    </row>
    <row r="165" spans="1:12" ht="12.75" x14ac:dyDescent="0.2">
      <c r="A165" s="38">
        <v>38991</v>
      </c>
      <c r="B165" s="40">
        <v>11.95</v>
      </c>
      <c r="C165" s="60"/>
      <c r="D165" s="60"/>
      <c r="E165" s="60"/>
      <c r="F165" s="9"/>
      <c r="G165" s="9"/>
      <c r="H165" s="9"/>
      <c r="I165" s="9"/>
      <c r="J165" s="9"/>
      <c r="K165" s="9"/>
      <c r="L165" s="9"/>
    </row>
    <row r="166" spans="1:12" ht="12.75" x14ac:dyDescent="0.2">
      <c r="A166" s="38">
        <v>39022</v>
      </c>
      <c r="B166" s="40">
        <v>11.95</v>
      </c>
      <c r="C166" s="60"/>
      <c r="D166" s="60"/>
      <c r="E166" s="60"/>
      <c r="F166" s="9"/>
      <c r="G166" s="9"/>
      <c r="H166" s="9"/>
      <c r="I166" s="9"/>
      <c r="J166" s="9"/>
      <c r="K166" s="9"/>
      <c r="L166" s="9"/>
    </row>
    <row r="167" spans="1:12" ht="12.75" x14ac:dyDescent="0.2">
      <c r="A167" s="38">
        <v>39052</v>
      </c>
      <c r="B167" s="40">
        <v>11.65</v>
      </c>
      <c r="C167" s="60"/>
      <c r="D167" s="60"/>
      <c r="E167" s="60"/>
      <c r="F167" s="9"/>
      <c r="G167" s="9"/>
      <c r="H167" s="9"/>
      <c r="I167" s="9"/>
      <c r="J167" s="9"/>
      <c r="K167" s="9"/>
      <c r="L167" s="9"/>
    </row>
    <row r="168" spans="1:12" ht="12.75" x14ac:dyDescent="0.2">
      <c r="A168" s="38">
        <v>39083</v>
      </c>
      <c r="B168" s="40">
        <v>11.65</v>
      </c>
      <c r="C168" s="60"/>
      <c r="D168" s="60"/>
      <c r="E168" s="60"/>
      <c r="F168" s="9"/>
      <c r="G168" s="9"/>
      <c r="H168" s="9"/>
      <c r="I168" s="9"/>
      <c r="J168" s="9"/>
      <c r="K168" s="9"/>
      <c r="L168" s="9"/>
    </row>
    <row r="169" spans="1:12" ht="12.75" x14ac:dyDescent="0.2">
      <c r="A169" s="38">
        <v>39114</v>
      </c>
      <c r="B169" s="40">
        <v>11.65</v>
      </c>
      <c r="C169" s="60"/>
      <c r="D169" s="60"/>
      <c r="E169" s="60"/>
      <c r="F169" s="9"/>
      <c r="G169" s="9"/>
      <c r="H169" s="9"/>
      <c r="I169" s="9"/>
      <c r="J169" s="9"/>
      <c r="K169" s="9"/>
      <c r="L169" s="9"/>
    </row>
    <row r="170" spans="1:12" ht="12.75" x14ac:dyDescent="0.2">
      <c r="A170" s="38">
        <v>39142</v>
      </c>
      <c r="B170" s="40">
        <v>11.65</v>
      </c>
      <c r="C170" s="60"/>
      <c r="D170" s="60"/>
      <c r="E170" s="60"/>
      <c r="F170" s="9"/>
      <c r="G170" s="9"/>
      <c r="H170" s="9"/>
      <c r="I170" s="9"/>
      <c r="J170" s="9"/>
      <c r="K170" s="9"/>
      <c r="L170" s="9"/>
    </row>
    <row r="171" spans="1:12" ht="12.75" x14ac:dyDescent="0.2">
      <c r="A171" s="38">
        <v>39173</v>
      </c>
      <c r="B171" s="40">
        <v>11.65</v>
      </c>
      <c r="C171" s="60"/>
      <c r="D171" s="60"/>
      <c r="E171" s="60"/>
      <c r="F171" s="9"/>
      <c r="G171" s="9"/>
      <c r="H171" s="9"/>
      <c r="I171" s="9"/>
      <c r="J171" s="9"/>
      <c r="K171" s="9"/>
      <c r="L171" s="9"/>
    </row>
    <row r="172" spans="1:12" ht="12.75" x14ac:dyDescent="0.2">
      <c r="A172" s="38">
        <v>39203</v>
      </c>
      <c r="B172" s="40">
        <v>11.65</v>
      </c>
      <c r="C172" s="60"/>
      <c r="D172" s="60"/>
      <c r="E172" s="60"/>
      <c r="F172" s="9"/>
      <c r="G172" s="9"/>
      <c r="H172" s="9"/>
      <c r="I172" s="9"/>
      <c r="J172" s="9"/>
      <c r="K172" s="9"/>
      <c r="L172" s="9"/>
    </row>
    <row r="173" spans="1:12" ht="12.75" x14ac:dyDescent="0.2">
      <c r="A173" s="38">
        <v>39234</v>
      </c>
      <c r="B173" s="40">
        <v>11.65</v>
      </c>
      <c r="C173" s="60"/>
      <c r="D173" s="60"/>
      <c r="E173" s="60"/>
      <c r="F173" s="9"/>
      <c r="G173" s="9"/>
      <c r="H173" s="9"/>
      <c r="I173" s="9"/>
      <c r="J173" s="9"/>
      <c r="K173" s="9"/>
      <c r="L173" s="9"/>
    </row>
    <row r="174" spans="1:12" ht="12.75" x14ac:dyDescent="0.2">
      <c r="A174" s="38">
        <v>39264</v>
      </c>
      <c r="B174" s="40">
        <v>11.65</v>
      </c>
      <c r="C174" s="60"/>
      <c r="D174" s="60"/>
      <c r="E174" s="60"/>
      <c r="F174" s="9"/>
      <c r="G174" s="9"/>
      <c r="H174" s="9"/>
      <c r="I174" s="9"/>
      <c r="J174" s="9"/>
      <c r="K174" s="9"/>
      <c r="L174" s="9"/>
    </row>
    <row r="175" spans="1:12" ht="12.75" x14ac:dyDescent="0.2">
      <c r="A175" s="38">
        <v>39295</v>
      </c>
      <c r="B175" s="40">
        <v>11.65</v>
      </c>
      <c r="C175" s="60"/>
      <c r="D175" s="60"/>
      <c r="E175" s="60"/>
      <c r="F175" s="9"/>
      <c r="G175" s="9"/>
      <c r="H175" s="9"/>
      <c r="I175" s="9"/>
      <c r="J175" s="9"/>
      <c r="K175" s="9"/>
      <c r="L175" s="9"/>
    </row>
    <row r="176" spans="1:12" ht="12.75" x14ac:dyDescent="0.2">
      <c r="A176" s="38">
        <v>39326</v>
      </c>
      <c r="B176" s="40">
        <v>11.65</v>
      </c>
      <c r="C176" s="60"/>
      <c r="D176" s="60"/>
      <c r="E176" s="60"/>
      <c r="F176" s="9"/>
      <c r="G176" s="9"/>
      <c r="H176" s="9"/>
      <c r="I176" s="9"/>
      <c r="J176" s="9"/>
      <c r="K176" s="9"/>
      <c r="L176" s="9"/>
    </row>
    <row r="177" spans="1:12" ht="12.75" x14ac:dyDescent="0.2">
      <c r="A177" s="38">
        <v>39356</v>
      </c>
      <c r="B177" s="40">
        <v>11.65</v>
      </c>
      <c r="C177" s="60"/>
      <c r="D177" s="60"/>
      <c r="E177" s="60"/>
      <c r="F177" s="9"/>
      <c r="G177" s="9"/>
      <c r="H177" s="9"/>
      <c r="I177" s="9"/>
      <c r="J177" s="9"/>
      <c r="K177" s="9"/>
      <c r="L177" s="9"/>
    </row>
    <row r="178" spans="1:12" ht="12.75" x14ac:dyDescent="0.2">
      <c r="A178" s="38">
        <v>39387</v>
      </c>
      <c r="B178" s="40">
        <v>11.65</v>
      </c>
      <c r="C178" s="60"/>
      <c r="D178" s="60"/>
      <c r="E178" s="60"/>
      <c r="F178" s="9"/>
      <c r="G178" s="9"/>
      <c r="H178" s="9"/>
      <c r="I178" s="9"/>
      <c r="J178" s="9"/>
      <c r="K178" s="9"/>
      <c r="L178" s="9"/>
    </row>
    <row r="179" spans="1:12" ht="12.75" x14ac:dyDescent="0.2">
      <c r="A179" s="38">
        <v>39417</v>
      </c>
      <c r="B179" s="40">
        <v>11.65</v>
      </c>
      <c r="C179" s="60"/>
      <c r="D179" s="60"/>
      <c r="E179" s="60"/>
      <c r="F179" s="9"/>
      <c r="G179" s="9"/>
      <c r="H179" s="9"/>
      <c r="I179" s="9"/>
      <c r="J179" s="9"/>
      <c r="K179" s="9"/>
      <c r="L179" s="9"/>
    </row>
    <row r="180" spans="1:12" ht="12.75" x14ac:dyDescent="0.2">
      <c r="A180" s="38">
        <v>39456</v>
      </c>
      <c r="B180" s="42">
        <v>12.65</v>
      </c>
      <c r="C180" s="62"/>
      <c r="D180" s="62"/>
      <c r="E180" s="62"/>
      <c r="F180" s="9"/>
      <c r="G180" s="9"/>
      <c r="H180" s="9"/>
      <c r="I180" s="9"/>
      <c r="J180" s="9"/>
      <c r="K180" s="9"/>
      <c r="L180" s="9"/>
    </row>
    <row r="181" spans="1:12" ht="12.75" x14ac:dyDescent="0.2">
      <c r="A181" s="38">
        <v>39463</v>
      </c>
      <c r="B181" s="42">
        <v>12.65</v>
      </c>
      <c r="C181" s="62"/>
      <c r="D181" s="62"/>
      <c r="E181" s="62"/>
      <c r="F181" s="9"/>
      <c r="G181" s="9"/>
      <c r="H181" s="9"/>
      <c r="I181" s="9"/>
      <c r="J181" s="9"/>
      <c r="K181" s="9"/>
      <c r="L181" s="9"/>
    </row>
    <row r="182" spans="1:12" ht="12.75" x14ac:dyDescent="0.2">
      <c r="A182" s="38">
        <v>39465</v>
      </c>
      <c r="B182" s="42">
        <v>12.65</v>
      </c>
      <c r="C182" s="62"/>
      <c r="D182" s="62"/>
      <c r="E182" s="62"/>
      <c r="F182" s="9"/>
      <c r="G182" s="9"/>
      <c r="H182" s="9"/>
      <c r="I182" s="9"/>
      <c r="J182" s="9"/>
      <c r="K182" s="9"/>
      <c r="L182" s="9"/>
    </row>
    <row r="183" spans="1:12" ht="12.75" x14ac:dyDescent="0.2">
      <c r="A183" s="38">
        <v>39479</v>
      </c>
      <c r="B183" s="40">
        <v>13.5</v>
      </c>
      <c r="C183" s="60"/>
      <c r="D183" s="60"/>
      <c r="E183" s="60"/>
      <c r="F183" s="9"/>
      <c r="G183" s="9"/>
      <c r="H183" s="9"/>
      <c r="I183" s="9"/>
      <c r="J183" s="9"/>
      <c r="K183" s="9"/>
      <c r="L183" s="9"/>
    </row>
    <row r="184" spans="1:12" ht="12.75" x14ac:dyDescent="0.2">
      <c r="A184" s="38">
        <v>39508</v>
      </c>
      <c r="B184" s="40">
        <v>13.5</v>
      </c>
      <c r="C184" s="60"/>
      <c r="D184" s="60"/>
      <c r="E184" s="60"/>
      <c r="F184" s="9"/>
      <c r="G184" s="9"/>
      <c r="H184" s="9"/>
      <c r="I184" s="9"/>
      <c r="J184" s="9"/>
      <c r="K184" s="9"/>
      <c r="L184" s="9"/>
    </row>
    <row r="185" spans="1:12" ht="12.75" x14ac:dyDescent="0.2">
      <c r="A185" s="38">
        <v>39539</v>
      </c>
      <c r="B185" s="40">
        <v>13.5</v>
      </c>
      <c r="C185" s="60"/>
      <c r="D185" s="60"/>
      <c r="E185" s="60"/>
      <c r="F185" s="9"/>
      <c r="G185" s="9"/>
      <c r="H185" s="9"/>
      <c r="I185" s="9"/>
      <c r="J185" s="9"/>
      <c r="K185" s="9"/>
      <c r="L185" s="9"/>
    </row>
    <row r="186" spans="1:12" ht="12.75" x14ac:dyDescent="0.2">
      <c r="A186" s="38">
        <v>39569</v>
      </c>
      <c r="B186" s="40">
        <v>13.5</v>
      </c>
      <c r="C186" s="60"/>
      <c r="D186" s="60"/>
      <c r="E186" s="60"/>
      <c r="F186" s="9"/>
      <c r="G186" s="9"/>
      <c r="H186" s="9"/>
      <c r="I186" s="9"/>
      <c r="J186" s="9"/>
      <c r="K186" s="9"/>
      <c r="L186" s="9"/>
    </row>
    <row r="187" spans="1:12" ht="12.75" x14ac:dyDescent="0.2">
      <c r="A187" s="38">
        <v>39600</v>
      </c>
      <c r="B187" s="40">
        <v>14</v>
      </c>
      <c r="C187" s="60"/>
      <c r="D187" s="60"/>
      <c r="E187" s="60"/>
      <c r="F187" s="9"/>
      <c r="G187" s="9"/>
      <c r="H187" s="9"/>
      <c r="I187" s="9"/>
      <c r="J187" s="9"/>
      <c r="K187" s="9"/>
      <c r="L187" s="9"/>
    </row>
    <row r="188" spans="1:12" ht="12.75" x14ac:dyDescent="0.2">
      <c r="A188" s="38">
        <v>39630</v>
      </c>
      <c r="B188" s="40">
        <v>14</v>
      </c>
      <c r="C188" s="60"/>
      <c r="D188" s="60"/>
      <c r="E188" s="60"/>
      <c r="F188" s="9"/>
      <c r="G188" s="9"/>
      <c r="H188" s="9"/>
      <c r="I188" s="9"/>
      <c r="J188" s="9"/>
      <c r="K188" s="9"/>
      <c r="L188" s="9"/>
    </row>
    <row r="189" spans="1:12" ht="12.75" x14ac:dyDescent="0.2">
      <c r="A189" s="38">
        <v>39661</v>
      </c>
      <c r="B189" s="40">
        <v>14</v>
      </c>
      <c r="C189" s="60"/>
      <c r="D189" s="60"/>
      <c r="E189" s="60"/>
      <c r="F189" s="9"/>
      <c r="G189" s="9"/>
      <c r="H189" s="9"/>
      <c r="I189" s="9"/>
      <c r="J189" s="9"/>
      <c r="K189" s="9"/>
      <c r="L189" s="9"/>
    </row>
    <row r="190" spans="1:12" ht="12.75" x14ac:dyDescent="0.2">
      <c r="A190" s="38">
        <v>39692</v>
      </c>
      <c r="B190" s="40">
        <v>14</v>
      </c>
      <c r="C190" s="60"/>
      <c r="D190" s="60"/>
      <c r="E190" s="60"/>
      <c r="F190" s="9"/>
      <c r="G190" s="9"/>
      <c r="H190" s="9"/>
      <c r="I190" s="9"/>
      <c r="J190" s="9"/>
      <c r="K190" s="9"/>
      <c r="L190" s="9"/>
    </row>
    <row r="191" spans="1:12" ht="12.75" x14ac:dyDescent="0.2">
      <c r="A191" s="38">
        <v>39722</v>
      </c>
      <c r="B191" s="40">
        <v>14.65</v>
      </c>
      <c r="C191" s="60"/>
      <c r="D191" s="60"/>
      <c r="E191" s="60"/>
      <c r="F191" s="9"/>
      <c r="G191" s="9"/>
      <c r="H191" s="9"/>
      <c r="I191" s="9"/>
      <c r="J191" s="9"/>
      <c r="K191" s="9"/>
      <c r="L191" s="9"/>
    </row>
    <row r="192" spans="1:12" ht="12.75" x14ac:dyDescent="0.2">
      <c r="A192" s="38">
        <v>39753</v>
      </c>
      <c r="B192" s="40">
        <v>14.65</v>
      </c>
      <c r="C192" s="60"/>
      <c r="D192" s="60"/>
      <c r="E192" s="60"/>
      <c r="F192" s="9"/>
      <c r="G192" s="9"/>
      <c r="H192" s="9"/>
      <c r="I192" s="9"/>
      <c r="J192" s="9"/>
      <c r="K192" s="9"/>
      <c r="L192" s="9"/>
    </row>
    <row r="193" spans="1:12" ht="12.75" x14ac:dyDescent="0.2">
      <c r="A193" s="38">
        <v>39783</v>
      </c>
      <c r="B193" s="40">
        <v>17</v>
      </c>
      <c r="C193" s="60"/>
      <c r="D193" s="60"/>
      <c r="E193" s="60"/>
      <c r="F193" s="9"/>
      <c r="G193" s="9"/>
      <c r="H193" s="9"/>
      <c r="I193" s="9"/>
      <c r="J193" s="9"/>
      <c r="K193" s="9"/>
      <c r="L193" s="9"/>
    </row>
    <row r="194" spans="1:12" ht="12.75" x14ac:dyDescent="0.2">
      <c r="A194" s="38">
        <v>39814</v>
      </c>
      <c r="B194" s="40">
        <v>17</v>
      </c>
      <c r="C194" s="60"/>
      <c r="D194" s="60"/>
      <c r="E194" s="60"/>
      <c r="F194" s="9"/>
      <c r="G194" s="9"/>
      <c r="H194" s="9"/>
      <c r="I194" s="9"/>
      <c r="J194" s="9"/>
      <c r="K194" s="9"/>
      <c r="L194" s="9"/>
    </row>
    <row r="195" spans="1:12" ht="12.75" x14ac:dyDescent="0.2">
      <c r="A195" s="38">
        <v>39845</v>
      </c>
      <c r="B195" s="40">
        <v>17</v>
      </c>
      <c r="C195" s="60"/>
      <c r="D195" s="60"/>
      <c r="E195" s="60"/>
      <c r="F195" s="9"/>
      <c r="G195" s="9"/>
      <c r="H195" s="9"/>
      <c r="I195" s="9"/>
      <c r="J195" s="9"/>
      <c r="K195" s="9"/>
      <c r="L195" s="9"/>
    </row>
    <row r="196" spans="1:12" ht="12.75" x14ac:dyDescent="0.2">
      <c r="A196" s="38">
        <v>39873</v>
      </c>
      <c r="B196" s="40">
        <v>17</v>
      </c>
      <c r="C196" s="60"/>
      <c r="D196" s="60"/>
      <c r="E196" s="60"/>
      <c r="F196" s="9"/>
      <c r="G196" s="9"/>
      <c r="H196" s="9"/>
      <c r="I196" s="9"/>
      <c r="J196" s="9"/>
      <c r="K196" s="9"/>
      <c r="L196" s="9"/>
    </row>
    <row r="197" spans="1:12" ht="12.75" x14ac:dyDescent="0.2">
      <c r="A197" s="38">
        <v>39904</v>
      </c>
      <c r="B197" s="40">
        <v>17</v>
      </c>
      <c r="C197" s="60"/>
      <c r="D197" s="60"/>
      <c r="E197" s="60"/>
      <c r="F197" s="43"/>
      <c r="G197" s="9"/>
      <c r="H197" s="9"/>
      <c r="I197" s="9"/>
      <c r="J197" s="9"/>
      <c r="K197" s="9"/>
      <c r="L197" s="9"/>
    </row>
    <row r="198" spans="1:12" ht="12.75" x14ac:dyDescent="0.2">
      <c r="A198" s="38">
        <v>39934</v>
      </c>
      <c r="B198" s="40">
        <v>17</v>
      </c>
      <c r="C198" s="60"/>
      <c r="D198" s="60"/>
      <c r="E198" s="60"/>
      <c r="F198" s="43"/>
      <c r="G198" s="9"/>
      <c r="H198" s="9"/>
      <c r="I198" s="9"/>
      <c r="J198" s="9"/>
      <c r="K198" s="9"/>
      <c r="L198" s="9"/>
    </row>
    <row r="199" spans="1:12" ht="12.75" x14ac:dyDescent="0.2">
      <c r="A199" s="38">
        <v>39965</v>
      </c>
      <c r="B199" s="40">
        <v>17</v>
      </c>
      <c r="C199" s="60"/>
      <c r="D199" s="60"/>
      <c r="E199" s="60"/>
      <c r="F199" s="43"/>
      <c r="G199" s="9"/>
      <c r="H199" s="9"/>
      <c r="I199" s="9"/>
      <c r="J199" s="9"/>
      <c r="K199" s="9"/>
      <c r="L199" s="9"/>
    </row>
    <row r="200" spans="1:12" ht="12.75" x14ac:dyDescent="0.2">
      <c r="A200" s="38">
        <v>40018</v>
      </c>
      <c r="B200" s="41">
        <v>16</v>
      </c>
      <c r="C200" s="61"/>
      <c r="D200" s="61"/>
      <c r="E200" s="61"/>
      <c r="F200" s="43"/>
      <c r="G200" s="9"/>
      <c r="H200" s="9"/>
      <c r="I200" s="9"/>
      <c r="J200" s="9"/>
      <c r="K200" s="9"/>
      <c r="L200" s="9"/>
    </row>
    <row r="201" spans="1:12" ht="12.75" x14ac:dyDescent="0.2">
      <c r="A201" s="38">
        <v>40024</v>
      </c>
      <c r="B201" s="41">
        <v>14.5</v>
      </c>
      <c r="C201" s="61"/>
      <c r="D201" s="61"/>
      <c r="E201" s="61"/>
      <c r="F201" s="43"/>
      <c r="G201" s="9"/>
      <c r="H201" s="9"/>
      <c r="I201" s="9"/>
      <c r="J201" s="9"/>
      <c r="K201" s="9"/>
      <c r="L201" s="9"/>
    </row>
    <row r="202" spans="1:12" ht="12.75" x14ac:dyDescent="0.2">
      <c r="A202" s="38">
        <v>40026</v>
      </c>
      <c r="B202" s="40">
        <v>13.5</v>
      </c>
      <c r="C202" s="60"/>
      <c r="D202" s="60"/>
      <c r="E202" s="60"/>
      <c r="F202" s="43"/>
      <c r="G202" s="9"/>
      <c r="H202" s="9"/>
      <c r="I202" s="9"/>
      <c r="J202" s="9"/>
      <c r="K202" s="9"/>
      <c r="L202" s="9"/>
    </row>
    <row r="203" spans="1:12" ht="12.75" x14ac:dyDescent="0.2">
      <c r="A203" s="38">
        <v>40057</v>
      </c>
      <c r="B203" s="40">
        <v>12.5</v>
      </c>
      <c r="C203" s="60"/>
      <c r="D203" s="60"/>
      <c r="E203" s="60"/>
      <c r="F203" s="43"/>
      <c r="G203" s="9"/>
      <c r="H203" s="9"/>
      <c r="I203" s="9"/>
      <c r="J203" s="9"/>
      <c r="K203" s="9"/>
      <c r="L203" s="9"/>
    </row>
    <row r="204" spans="1:12" ht="12.75" x14ac:dyDescent="0.2">
      <c r="A204" s="38">
        <v>40087</v>
      </c>
      <c r="B204" s="40">
        <v>12.5</v>
      </c>
      <c r="C204" s="60"/>
      <c r="D204" s="60"/>
      <c r="E204" s="60"/>
      <c r="F204" s="43"/>
      <c r="G204" s="9"/>
      <c r="H204" s="9"/>
      <c r="I204" s="9"/>
      <c r="J204" s="9"/>
      <c r="K204" s="9"/>
      <c r="L204" s="9"/>
    </row>
    <row r="205" spans="1:12" ht="12.75" x14ac:dyDescent="0.2">
      <c r="A205" s="38">
        <v>40118</v>
      </c>
      <c r="B205" s="40">
        <v>12.5</v>
      </c>
      <c r="C205" s="60"/>
      <c r="D205" s="60"/>
      <c r="E205" s="60"/>
      <c r="F205" s="43"/>
      <c r="G205" s="9"/>
      <c r="H205" s="9"/>
      <c r="I205" s="9"/>
      <c r="J205" s="9"/>
      <c r="K205" s="9"/>
      <c r="L205" s="9"/>
    </row>
    <row r="206" spans="1:12" ht="12.75" x14ac:dyDescent="0.2">
      <c r="A206" s="38">
        <v>40148</v>
      </c>
      <c r="B206" s="40">
        <v>10.5</v>
      </c>
      <c r="C206" s="60"/>
      <c r="D206" s="60"/>
      <c r="E206" s="60"/>
      <c r="F206" s="43"/>
      <c r="G206" s="9"/>
      <c r="H206" s="9"/>
      <c r="I206" s="9"/>
      <c r="J206" s="9"/>
      <c r="K206" s="9"/>
      <c r="L206" s="9"/>
    </row>
    <row r="207" spans="1:12" ht="12.75" x14ac:dyDescent="0.2">
      <c r="A207" s="38">
        <v>40179</v>
      </c>
      <c r="B207" s="40">
        <v>10.5</v>
      </c>
      <c r="C207" s="60"/>
      <c r="D207" s="60"/>
      <c r="E207" s="60"/>
      <c r="F207" s="43"/>
      <c r="G207" s="9"/>
      <c r="H207" s="9"/>
      <c r="I207" s="9"/>
      <c r="J207" s="9"/>
      <c r="K207" s="9"/>
      <c r="L207" s="9"/>
    </row>
    <row r="208" spans="1:12" ht="12.75" x14ac:dyDescent="0.2">
      <c r="A208" s="38">
        <v>40210</v>
      </c>
      <c r="B208" s="40">
        <v>10</v>
      </c>
      <c r="C208" s="60"/>
      <c r="D208" s="60"/>
      <c r="E208" s="60"/>
      <c r="F208" s="43"/>
      <c r="G208" s="9"/>
      <c r="H208" s="9"/>
      <c r="I208" s="9"/>
      <c r="J208" s="9"/>
      <c r="K208" s="9"/>
      <c r="L208" s="9"/>
    </row>
    <row r="209" spans="1:12" ht="12.75" x14ac:dyDescent="0.2">
      <c r="A209" s="38">
        <v>40238</v>
      </c>
      <c r="B209" s="40">
        <v>10</v>
      </c>
      <c r="C209" s="60"/>
      <c r="D209" s="60"/>
      <c r="E209" s="60"/>
      <c r="F209" s="43"/>
      <c r="G209" s="9"/>
      <c r="H209" s="9"/>
      <c r="I209" s="9"/>
      <c r="J209" s="9"/>
      <c r="K209" s="9"/>
      <c r="L209" s="9"/>
    </row>
    <row r="210" spans="1:12" ht="12.75" x14ac:dyDescent="0.2">
      <c r="A210" s="38">
        <v>40269</v>
      </c>
      <c r="B210" s="40">
        <v>10</v>
      </c>
      <c r="C210" s="60"/>
      <c r="D210" s="60"/>
      <c r="E210" s="60"/>
      <c r="F210" s="43"/>
      <c r="G210" s="9"/>
      <c r="H210" s="9"/>
      <c r="I210" s="9"/>
      <c r="J210" s="9"/>
      <c r="K210" s="9"/>
      <c r="L210" s="9"/>
    </row>
    <row r="211" spans="1:12" ht="12.75" x14ac:dyDescent="0.2">
      <c r="A211" s="38">
        <v>40299</v>
      </c>
      <c r="B211" s="40">
        <v>10</v>
      </c>
      <c r="C211" s="60"/>
      <c r="D211" s="60"/>
      <c r="E211" s="60"/>
      <c r="F211" s="43"/>
      <c r="G211" s="9"/>
      <c r="H211" s="9"/>
      <c r="I211" s="9"/>
      <c r="J211" s="9"/>
      <c r="K211" s="9"/>
      <c r="L211" s="9"/>
    </row>
    <row r="212" spans="1:12" ht="12.75" x14ac:dyDescent="0.2">
      <c r="A212" s="44">
        <v>40333</v>
      </c>
      <c r="B212" s="41">
        <v>9.5</v>
      </c>
      <c r="C212" s="61"/>
      <c r="D212" s="61"/>
      <c r="E212" s="61"/>
      <c r="F212" s="43"/>
      <c r="G212" s="9"/>
      <c r="H212" s="9"/>
      <c r="I212" s="9"/>
      <c r="J212" s="9"/>
      <c r="K212" s="9"/>
      <c r="L212" s="9"/>
    </row>
    <row r="213" spans="1:12" ht="12.75" x14ac:dyDescent="0.2">
      <c r="A213" s="44">
        <v>40346</v>
      </c>
      <c r="B213" s="41">
        <v>9</v>
      </c>
      <c r="C213" s="61"/>
      <c r="D213" s="61"/>
      <c r="E213" s="61"/>
      <c r="F213" s="43"/>
      <c r="G213" s="9"/>
      <c r="H213" s="9"/>
      <c r="I213" s="9"/>
      <c r="J213" s="9"/>
      <c r="K213" s="9"/>
      <c r="L213" s="9"/>
    </row>
    <row r="214" spans="1:12" ht="12.75" x14ac:dyDescent="0.2">
      <c r="A214" s="38">
        <v>40360</v>
      </c>
      <c r="B214" s="40">
        <v>9</v>
      </c>
      <c r="C214" s="60"/>
      <c r="D214" s="60"/>
      <c r="E214" s="60"/>
      <c r="F214" s="43"/>
      <c r="G214" s="9"/>
      <c r="H214" s="9"/>
      <c r="I214" s="9"/>
      <c r="J214" s="9"/>
      <c r="K214" s="9"/>
      <c r="L214" s="9"/>
    </row>
    <row r="215" spans="1:12" ht="12.75" x14ac:dyDescent="0.2">
      <c r="A215" s="38">
        <v>40394</v>
      </c>
      <c r="B215" s="41">
        <v>8.5</v>
      </c>
      <c r="C215" s="61"/>
      <c r="D215" s="61"/>
      <c r="E215" s="61"/>
      <c r="F215" s="43"/>
      <c r="G215" s="9"/>
      <c r="H215" s="9"/>
      <c r="I215" s="9"/>
      <c r="J215" s="9"/>
      <c r="K215" s="9"/>
      <c r="L215" s="9"/>
    </row>
    <row r="216" spans="1:12" ht="12.75" x14ac:dyDescent="0.2">
      <c r="A216" s="38">
        <v>40416</v>
      </c>
      <c r="B216" s="41">
        <v>8</v>
      </c>
      <c r="C216" s="61"/>
      <c r="D216" s="61"/>
      <c r="E216" s="61"/>
      <c r="F216" s="43"/>
      <c r="G216" s="9"/>
      <c r="H216" s="9"/>
      <c r="I216" s="9"/>
      <c r="J216" s="9"/>
      <c r="K216" s="9"/>
      <c r="L216" s="9"/>
    </row>
    <row r="217" spans="1:12" ht="12.75" x14ac:dyDescent="0.2">
      <c r="A217" s="38">
        <v>40422</v>
      </c>
      <c r="B217" s="40">
        <v>8</v>
      </c>
      <c r="C217" s="60"/>
      <c r="D217" s="60"/>
      <c r="E217" s="60"/>
      <c r="F217" s="43"/>
      <c r="G217" s="9"/>
      <c r="H217" s="9"/>
      <c r="I217" s="9"/>
      <c r="J217" s="9"/>
      <c r="K217" s="9"/>
      <c r="L217" s="9"/>
    </row>
    <row r="218" spans="1:12" ht="12.75" x14ac:dyDescent="0.2">
      <c r="A218" s="38">
        <v>40452</v>
      </c>
      <c r="B218" s="40">
        <v>8</v>
      </c>
      <c r="C218" s="60"/>
      <c r="D218" s="60"/>
      <c r="E218" s="60"/>
      <c r="F218" s="43"/>
      <c r="G218" s="9"/>
      <c r="H218" s="9"/>
      <c r="I218" s="9"/>
      <c r="J218" s="9"/>
      <c r="K218" s="9"/>
      <c r="L218" s="9"/>
    </row>
    <row r="219" spans="1:12" ht="12.75" x14ac:dyDescent="0.2">
      <c r="A219" s="38">
        <v>40483</v>
      </c>
      <c r="B219" s="40">
        <v>7.5</v>
      </c>
      <c r="C219" s="60"/>
      <c r="D219" s="60"/>
      <c r="E219" s="60"/>
      <c r="F219" s="43"/>
      <c r="G219" s="9"/>
      <c r="H219" s="9"/>
      <c r="I219" s="9"/>
      <c r="J219" s="9"/>
      <c r="K219" s="9"/>
      <c r="L219" s="9"/>
    </row>
    <row r="220" spans="1:12" ht="12.75" x14ac:dyDescent="0.2">
      <c r="A220" s="38">
        <v>40513</v>
      </c>
      <c r="B220" s="40">
        <v>7.5</v>
      </c>
      <c r="C220" s="60"/>
      <c r="D220" s="60"/>
      <c r="E220" s="60"/>
      <c r="F220" s="43"/>
      <c r="G220" s="9"/>
      <c r="H220" s="9"/>
      <c r="I220" s="9"/>
      <c r="J220" s="9"/>
      <c r="K220" s="9"/>
      <c r="L220" s="9"/>
    </row>
    <row r="221" spans="1:12" ht="12.75" x14ac:dyDescent="0.2">
      <c r="A221" s="38">
        <v>40544</v>
      </c>
      <c r="B221" s="40">
        <v>7.5</v>
      </c>
      <c r="C221" s="60"/>
      <c r="D221" s="60"/>
      <c r="E221" s="60"/>
      <c r="F221" s="43"/>
      <c r="G221" s="9"/>
      <c r="H221" s="9"/>
      <c r="I221" s="9"/>
      <c r="J221" s="9"/>
      <c r="K221" s="9"/>
      <c r="L221" s="9"/>
    </row>
    <row r="222" spans="1:12" ht="12.75" x14ac:dyDescent="0.2">
      <c r="A222" s="38">
        <v>40575</v>
      </c>
      <c r="B222" s="41">
        <v>7.25</v>
      </c>
      <c r="C222" s="61"/>
      <c r="D222" s="61"/>
      <c r="E222" s="61"/>
      <c r="F222" s="43"/>
      <c r="G222" s="9"/>
      <c r="H222" s="9"/>
      <c r="I222" s="9"/>
      <c r="J222" s="9"/>
      <c r="K222" s="9"/>
      <c r="L222" s="9"/>
    </row>
    <row r="223" spans="1:12" ht="12.75" x14ac:dyDescent="0.2">
      <c r="A223" s="38">
        <v>40597</v>
      </c>
      <c r="B223" s="41">
        <v>6.75</v>
      </c>
      <c r="C223" s="61"/>
      <c r="D223" s="61"/>
      <c r="E223" s="61"/>
      <c r="F223" s="43"/>
      <c r="G223" s="9"/>
      <c r="H223" s="9"/>
      <c r="I223" s="9"/>
      <c r="J223" s="9"/>
      <c r="K223" s="9"/>
      <c r="L223" s="9"/>
    </row>
    <row r="224" spans="1:12" ht="12.75" x14ac:dyDescent="0.2">
      <c r="A224" s="38">
        <v>40603</v>
      </c>
      <c r="B224" s="40">
        <v>6.75</v>
      </c>
      <c r="C224" s="60"/>
      <c r="D224" s="60"/>
      <c r="E224" s="60"/>
      <c r="F224" s="43"/>
      <c r="G224" s="9"/>
      <c r="H224" s="9"/>
      <c r="I224" s="9"/>
      <c r="J224" s="9"/>
      <c r="K224" s="9"/>
      <c r="L224" s="9"/>
    </row>
    <row r="225" spans="1:12" ht="12.75" x14ac:dyDescent="0.2">
      <c r="A225" s="38">
        <v>40634</v>
      </c>
      <c r="B225" s="40">
        <v>6.75</v>
      </c>
      <c r="C225" s="60"/>
      <c r="D225" s="60"/>
      <c r="E225" s="60"/>
      <c r="F225" s="43"/>
      <c r="G225" s="9"/>
      <c r="H225" s="9"/>
      <c r="I225" s="9"/>
      <c r="J225" s="9"/>
      <c r="K225" s="9"/>
      <c r="L225" s="9"/>
    </row>
    <row r="226" spans="1:12" ht="12.75" x14ac:dyDescent="0.2">
      <c r="A226" s="38">
        <v>40664</v>
      </c>
      <c r="B226" s="40">
        <v>6.75</v>
      </c>
      <c r="C226" s="60"/>
      <c r="D226" s="60"/>
      <c r="E226" s="60"/>
      <c r="F226" s="43"/>
      <c r="G226" s="9"/>
      <c r="H226" s="9"/>
      <c r="I226" s="9"/>
      <c r="J226" s="9"/>
      <c r="K226" s="9"/>
      <c r="L226" s="9"/>
    </row>
    <row r="227" spans="1:12" ht="12.75" x14ac:dyDescent="0.2">
      <c r="A227" s="38">
        <v>40695</v>
      </c>
      <c r="B227" s="40">
        <v>6.75</v>
      </c>
      <c r="C227" s="60"/>
      <c r="D227" s="60"/>
      <c r="E227" s="60"/>
      <c r="F227" s="43"/>
      <c r="G227" s="9"/>
      <c r="H227" s="9"/>
      <c r="I227" s="9"/>
      <c r="J227" s="9"/>
      <c r="K227" s="9"/>
      <c r="L227" s="9"/>
    </row>
    <row r="228" spans="1:12" ht="12.75" x14ac:dyDescent="0.2">
      <c r="A228" s="38">
        <v>40725</v>
      </c>
      <c r="B228" s="40">
        <v>6.5</v>
      </c>
      <c r="C228" s="60"/>
      <c r="D228" s="60"/>
      <c r="E228" s="60"/>
      <c r="F228" s="43"/>
      <c r="G228" s="9"/>
      <c r="H228" s="9"/>
      <c r="I228" s="9"/>
      <c r="J228" s="9"/>
      <c r="K228" s="9"/>
      <c r="L228" s="9"/>
    </row>
    <row r="229" spans="1:12" ht="12.75" x14ac:dyDescent="0.2">
      <c r="A229" s="38">
        <v>40756</v>
      </c>
      <c r="B229" s="40">
        <v>6.5</v>
      </c>
      <c r="C229" s="60"/>
      <c r="D229" s="60"/>
      <c r="E229" s="60"/>
      <c r="F229" s="43"/>
      <c r="G229" s="9"/>
      <c r="H229" s="9"/>
      <c r="I229" s="9"/>
      <c r="J229" s="9"/>
      <c r="K229" s="9"/>
      <c r="L229" s="9"/>
    </row>
    <row r="230" spans="1:12" ht="12.75" x14ac:dyDescent="0.2">
      <c r="A230" s="38">
        <v>40787</v>
      </c>
      <c r="B230" s="40">
        <v>6.25</v>
      </c>
      <c r="C230" s="60"/>
      <c r="D230" s="60"/>
      <c r="E230" s="60"/>
      <c r="F230" s="43"/>
      <c r="G230" s="9"/>
      <c r="H230" s="9"/>
      <c r="I230" s="9"/>
      <c r="J230" s="9"/>
      <c r="K230" s="9"/>
      <c r="L230" s="9"/>
    </row>
    <row r="231" spans="1:12" ht="12.75" x14ac:dyDescent="0.2">
      <c r="A231" s="38">
        <v>40817</v>
      </c>
      <c r="B231" s="40">
        <v>6.25</v>
      </c>
      <c r="C231" s="60"/>
      <c r="D231" s="60"/>
      <c r="E231" s="60"/>
      <c r="F231" s="43"/>
      <c r="G231" s="9"/>
      <c r="H231" s="9"/>
      <c r="I231" s="9"/>
      <c r="J231" s="9"/>
      <c r="K231" s="9"/>
      <c r="L231" s="9"/>
    </row>
    <row r="232" spans="1:12" ht="12.75" x14ac:dyDescent="0.2">
      <c r="A232" s="38">
        <v>40848</v>
      </c>
      <c r="B232" s="40">
        <v>6.25</v>
      </c>
      <c r="C232" s="60"/>
      <c r="D232" s="60"/>
      <c r="E232" s="60"/>
      <c r="F232" s="43"/>
      <c r="G232" s="9"/>
      <c r="H232" s="9"/>
      <c r="I232" s="9"/>
      <c r="J232" s="9"/>
      <c r="K232" s="9"/>
      <c r="L232" s="9"/>
    </row>
    <row r="233" spans="1:12" ht="12.75" x14ac:dyDescent="0.2">
      <c r="A233" s="38">
        <v>40878</v>
      </c>
      <c r="B233" s="40">
        <v>6.25</v>
      </c>
      <c r="C233" s="60"/>
      <c r="D233" s="60"/>
      <c r="E233" s="60"/>
      <c r="F233" s="43"/>
      <c r="G233" s="9"/>
      <c r="H233" s="9"/>
      <c r="I233" s="9"/>
      <c r="J233" s="9"/>
      <c r="K233" s="9"/>
      <c r="L233" s="9"/>
    </row>
    <row r="234" spans="1:12" ht="12.75" x14ac:dyDescent="0.2">
      <c r="A234" s="38">
        <v>40909</v>
      </c>
      <c r="B234" s="40">
        <v>6.25</v>
      </c>
      <c r="C234" s="60"/>
      <c r="D234" s="60"/>
      <c r="E234" s="60"/>
      <c r="F234" s="43"/>
      <c r="G234" s="9"/>
      <c r="H234" s="9"/>
      <c r="I234" s="9"/>
      <c r="J234" s="9"/>
      <c r="K234" s="9"/>
      <c r="L234" s="9"/>
    </row>
    <row r="235" spans="1:12" ht="12.75" x14ac:dyDescent="0.2">
      <c r="A235" s="38">
        <v>40940</v>
      </c>
      <c r="B235" s="40">
        <v>6.25</v>
      </c>
      <c r="C235" s="60"/>
      <c r="D235" s="60"/>
      <c r="E235" s="60"/>
      <c r="F235" s="43"/>
      <c r="G235" s="9"/>
      <c r="H235" s="9"/>
      <c r="I235" s="9"/>
      <c r="J235" s="9"/>
      <c r="K235" s="9"/>
      <c r="L235" s="9"/>
    </row>
    <row r="236" spans="1:12" ht="12.75" x14ac:dyDescent="0.2">
      <c r="A236" s="38">
        <v>40969</v>
      </c>
      <c r="B236" s="40">
        <v>6.25</v>
      </c>
      <c r="C236" s="60"/>
      <c r="D236" s="60"/>
      <c r="E236" s="60"/>
      <c r="F236" s="43"/>
      <c r="G236" s="9"/>
      <c r="H236" s="9"/>
      <c r="I236" s="9"/>
      <c r="J236" s="9"/>
      <c r="K236" s="9"/>
      <c r="L236" s="9"/>
    </row>
    <row r="237" spans="1:12" ht="12.75" x14ac:dyDescent="0.2">
      <c r="A237" s="38">
        <v>41000</v>
      </c>
      <c r="B237" s="40">
        <v>6.25</v>
      </c>
      <c r="C237" s="60"/>
      <c r="D237" s="60"/>
      <c r="E237" s="60"/>
      <c r="F237" s="43"/>
      <c r="G237" s="9"/>
      <c r="H237" s="9"/>
      <c r="I237" s="9"/>
      <c r="J237" s="9"/>
      <c r="K237" s="9"/>
      <c r="L237" s="9"/>
    </row>
    <row r="238" spans="1:12" ht="12.75" x14ac:dyDescent="0.2">
      <c r="A238" s="38">
        <v>41030</v>
      </c>
      <c r="B238" s="40">
        <v>6.25</v>
      </c>
      <c r="C238" s="60"/>
      <c r="D238" s="60"/>
      <c r="E238" s="60"/>
      <c r="F238" s="43"/>
      <c r="G238" s="9"/>
      <c r="H238" s="9"/>
      <c r="I238" s="9"/>
      <c r="J238" s="9"/>
      <c r="K238" s="9"/>
      <c r="L238" s="9"/>
    </row>
    <row r="239" spans="1:12" ht="12.75" x14ac:dyDescent="0.2">
      <c r="A239" s="38">
        <v>41061</v>
      </c>
      <c r="B239" s="40">
        <v>6.25</v>
      </c>
      <c r="C239" s="60"/>
      <c r="D239" s="60"/>
      <c r="E239" s="60"/>
      <c r="F239" s="43"/>
      <c r="G239" s="9"/>
      <c r="H239" s="9"/>
      <c r="I239" s="9"/>
      <c r="J239" s="9"/>
      <c r="K239" s="9"/>
      <c r="L239" s="9"/>
    </row>
    <row r="240" spans="1:12" ht="12.75" x14ac:dyDescent="0.2">
      <c r="A240" s="38">
        <v>41091</v>
      </c>
      <c r="B240" s="40">
        <v>6.25</v>
      </c>
      <c r="C240" s="60"/>
      <c r="D240" s="60"/>
      <c r="E240" s="60"/>
      <c r="F240" s="43"/>
      <c r="G240" s="9"/>
      <c r="H240" s="9"/>
      <c r="I240" s="9"/>
      <c r="J240" s="9"/>
      <c r="K240" s="9"/>
      <c r="L240" s="9"/>
    </row>
    <row r="241" spans="1:12" ht="12.75" x14ac:dyDescent="0.2">
      <c r="A241" s="38">
        <v>41122</v>
      </c>
      <c r="B241" s="40">
        <v>6.25</v>
      </c>
      <c r="C241" s="60"/>
      <c r="D241" s="60"/>
      <c r="E241" s="60"/>
      <c r="F241" s="43"/>
      <c r="G241" s="9"/>
      <c r="H241" s="9"/>
      <c r="I241" s="9"/>
      <c r="J241" s="9"/>
      <c r="K241" s="9"/>
      <c r="L241" s="9"/>
    </row>
    <row r="242" spans="1:12" ht="12.75" x14ac:dyDescent="0.2">
      <c r="A242" s="38">
        <v>41153</v>
      </c>
      <c r="B242" s="40">
        <v>6.25</v>
      </c>
      <c r="C242" s="60"/>
      <c r="D242" s="60"/>
      <c r="E242" s="60"/>
      <c r="F242" s="43"/>
      <c r="G242" s="9"/>
      <c r="H242" s="9"/>
      <c r="I242" s="9"/>
      <c r="J242" s="9"/>
      <c r="K242" s="9"/>
      <c r="L242" s="9"/>
    </row>
    <row r="243" spans="1:12" ht="12.75" x14ac:dyDescent="0.2">
      <c r="A243" s="38">
        <v>41183</v>
      </c>
      <c r="B243" s="40">
        <v>6.25</v>
      </c>
      <c r="C243" s="60"/>
      <c r="D243" s="60"/>
      <c r="E243" s="60"/>
      <c r="F243" s="43"/>
      <c r="G243" s="9"/>
      <c r="H243" s="9"/>
      <c r="I243" s="9"/>
      <c r="J243" s="9"/>
      <c r="K243" s="9"/>
      <c r="L243" s="9"/>
    </row>
    <row r="244" spans="1:12" ht="12.75" x14ac:dyDescent="0.2">
      <c r="A244" s="38">
        <v>41214</v>
      </c>
      <c r="B244" s="40">
        <v>6.25</v>
      </c>
      <c r="C244" s="60"/>
      <c r="D244" s="60"/>
      <c r="E244" s="60"/>
      <c r="F244" s="43"/>
      <c r="G244" s="9"/>
      <c r="H244" s="9"/>
      <c r="I244" s="9"/>
      <c r="J244" s="9"/>
      <c r="K244" s="9"/>
      <c r="L244" s="9"/>
    </row>
    <row r="245" spans="1:12" ht="12.75" x14ac:dyDescent="0.2">
      <c r="A245" s="38">
        <v>41244</v>
      </c>
      <c r="B245" s="40">
        <v>6.25</v>
      </c>
      <c r="C245" s="60"/>
      <c r="D245" s="60"/>
      <c r="E245" s="60"/>
      <c r="F245" s="43"/>
      <c r="G245" s="9"/>
      <c r="H245" s="9"/>
      <c r="I245" s="9"/>
      <c r="J245" s="9"/>
      <c r="K245" s="9"/>
      <c r="L245" s="9"/>
    </row>
    <row r="246" spans="1:12" ht="12.75" x14ac:dyDescent="0.2">
      <c r="A246" s="38">
        <v>41275</v>
      </c>
      <c r="B246" s="40">
        <v>6.25</v>
      </c>
      <c r="C246" s="60"/>
      <c r="D246" s="60"/>
      <c r="E246" s="60"/>
      <c r="F246" s="43"/>
      <c r="G246" s="9"/>
      <c r="H246" s="9"/>
      <c r="I246" s="9"/>
      <c r="J246" s="9"/>
      <c r="K246" s="9"/>
      <c r="L246" s="9"/>
    </row>
    <row r="247" spans="1:12" ht="12.75" x14ac:dyDescent="0.2">
      <c r="A247" s="38">
        <v>41306</v>
      </c>
      <c r="B247" s="40">
        <v>5.75</v>
      </c>
      <c r="C247" s="60"/>
      <c r="D247" s="60"/>
      <c r="E247" s="60"/>
      <c r="F247" s="43"/>
      <c r="G247" s="9"/>
      <c r="H247" s="9"/>
      <c r="I247" s="9"/>
      <c r="J247" s="9"/>
      <c r="K247" s="9"/>
      <c r="L247" s="9"/>
    </row>
    <row r="248" spans="1:12" ht="12.75" x14ac:dyDescent="0.2">
      <c r="A248" s="38">
        <v>41334</v>
      </c>
      <c r="B248" s="40">
        <v>5.75</v>
      </c>
      <c r="C248" s="60"/>
      <c r="D248" s="60"/>
      <c r="E248" s="60"/>
      <c r="F248" s="43"/>
      <c r="G248" s="9"/>
      <c r="H248" s="9"/>
      <c r="I248" s="9"/>
      <c r="J248" s="9"/>
      <c r="K248" s="9"/>
      <c r="L248" s="9"/>
    </row>
    <row r="249" spans="1:12" ht="12.75" x14ac:dyDescent="0.2">
      <c r="A249" s="38">
        <v>41365</v>
      </c>
      <c r="B249" s="40">
        <v>5.75</v>
      </c>
      <c r="C249" s="60"/>
      <c r="D249" s="60"/>
      <c r="E249" s="60"/>
      <c r="F249" s="43"/>
      <c r="G249" s="9"/>
      <c r="H249" s="9"/>
      <c r="I249" s="9"/>
      <c r="J249" s="9"/>
      <c r="K249" s="9"/>
      <c r="L249" s="9"/>
    </row>
    <row r="250" spans="1:12" ht="12.75" x14ac:dyDescent="0.2">
      <c r="A250" s="38">
        <v>41395</v>
      </c>
      <c r="B250" s="40">
        <v>5.75</v>
      </c>
      <c r="C250" s="60"/>
      <c r="D250" s="60"/>
      <c r="E250" s="60"/>
      <c r="F250" s="43"/>
      <c r="G250" s="9"/>
      <c r="H250" s="9"/>
      <c r="I250" s="9"/>
      <c r="J250" s="9"/>
      <c r="K250" s="9"/>
      <c r="L250" s="9"/>
    </row>
    <row r="251" spans="1:12" ht="12.75" x14ac:dyDescent="0.2">
      <c r="A251" s="38">
        <v>41426</v>
      </c>
      <c r="B251" s="40">
        <v>5.75</v>
      </c>
      <c r="C251" s="60"/>
      <c r="D251" s="60"/>
      <c r="E251" s="60"/>
      <c r="F251" s="43"/>
      <c r="G251" s="9"/>
      <c r="H251" s="9"/>
      <c r="I251" s="9"/>
      <c r="J251" s="9"/>
      <c r="K251" s="9"/>
      <c r="L251" s="9"/>
    </row>
    <row r="252" spans="1:12" ht="12.75" x14ac:dyDescent="0.2">
      <c r="A252" s="38">
        <v>41456</v>
      </c>
      <c r="B252" s="40">
        <v>5.75</v>
      </c>
      <c r="C252" s="60"/>
      <c r="D252" s="60"/>
      <c r="E252" s="60"/>
      <c r="F252" s="43"/>
      <c r="G252" s="9"/>
      <c r="H252" s="9"/>
      <c r="I252" s="9"/>
      <c r="J252" s="9"/>
      <c r="K252" s="9"/>
      <c r="L252" s="9"/>
    </row>
    <row r="253" spans="1:12" ht="12.75" x14ac:dyDescent="0.2">
      <c r="A253" s="38">
        <v>41487</v>
      </c>
      <c r="B253" s="40">
        <v>5.75</v>
      </c>
      <c r="C253" s="60"/>
      <c r="D253" s="60"/>
      <c r="E253" s="60"/>
      <c r="F253" s="43"/>
      <c r="G253" s="9"/>
      <c r="H253" s="9"/>
      <c r="I253" s="9"/>
      <c r="J253" s="9"/>
      <c r="K253" s="9"/>
      <c r="L253" s="9"/>
    </row>
    <row r="254" spans="1:12" ht="12.75" x14ac:dyDescent="0.2">
      <c r="A254" s="38">
        <v>41518</v>
      </c>
      <c r="B254" s="40">
        <v>5.75</v>
      </c>
      <c r="C254" s="60"/>
      <c r="D254" s="60"/>
      <c r="E254" s="60"/>
      <c r="F254" s="43"/>
      <c r="G254" s="9"/>
      <c r="H254" s="9"/>
      <c r="I254" s="9"/>
      <c r="J254" s="9"/>
      <c r="K254" s="9"/>
      <c r="L254" s="9"/>
    </row>
    <row r="255" spans="1:12" ht="12.75" x14ac:dyDescent="0.2">
      <c r="A255" s="38">
        <v>41548</v>
      </c>
      <c r="B255" s="40">
        <v>5.75</v>
      </c>
      <c r="C255" s="60"/>
      <c r="D255" s="60"/>
      <c r="E255" s="60"/>
      <c r="F255" s="43"/>
      <c r="G255" s="9"/>
      <c r="H255" s="9"/>
      <c r="I255" s="9"/>
      <c r="J255" s="9"/>
      <c r="K255" s="9"/>
      <c r="L255" s="9"/>
    </row>
    <row r="256" spans="1:12" ht="12.75" x14ac:dyDescent="0.2">
      <c r="A256" s="38">
        <v>41579</v>
      </c>
      <c r="B256" s="40">
        <v>5.75</v>
      </c>
      <c r="C256" s="60"/>
      <c r="D256" s="60"/>
      <c r="E256" s="60"/>
      <c r="F256" s="43"/>
      <c r="G256" s="9"/>
      <c r="H256" s="9"/>
      <c r="I256" s="9"/>
      <c r="J256" s="9"/>
      <c r="K256" s="9"/>
      <c r="L256" s="9"/>
    </row>
    <row r="257" spans="1:12" ht="12.75" x14ac:dyDescent="0.2">
      <c r="A257" s="38">
        <v>41609</v>
      </c>
      <c r="B257" s="40">
        <v>5.75</v>
      </c>
      <c r="C257" s="60"/>
      <c r="D257" s="60"/>
      <c r="E257" s="60"/>
      <c r="F257" s="43"/>
      <c r="G257" s="9"/>
      <c r="H257" s="9"/>
      <c r="I257" s="9"/>
      <c r="J257" s="9"/>
      <c r="K257" s="9"/>
      <c r="L257" s="9"/>
    </row>
    <row r="258" spans="1:12" ht="12.75" x14ac:dyDescent="0.2">
      <c r="A258" s="38">
        <v>41640</v>
      </c>
      <c r="B258" s="40">
        <v>5.75</v>
      </c>
      <c r="C258" s="60"/>
      <c r="D258" s="60"/>
      <c r="E258" s="60"/>
      <c r="F258" s="43"/>
      <c r="G258" s="9"/>
      <c r="H258" s="9"/>
      <c r="I258" s="9"/>
      <c r="J258" s="9"/>
      <c r="K258" s="9"/>
      <c r="L258" s="9"/>
    </row>
    <row r="259" spans="1:12" ht="12.75" x14ac:dyDescent="0.2">
      <c r="A259" s="38">
        <v>41671</v>
      </c>
      <c r="B259" s="40">
        <v>5.75</v>
      </c>
      <c r="C259" s="60"/>
      <c r="D259" s="60"/>
      <c r="E259" s="60"/>
      <c r="F259" s="43"/>
      <c r="G259" s="9"/>
      <c r="H259" s="9"/>
      <c r="I259" s="9"/>
      <c r="J259" s="9"/>
      <c r="K259" s="9"/>
      <c r="L259" s="9"/>
    </row>
    <row r="260" spans="1:12" ht="12.75" x14ac:dyDescent="0.2">
      <c r="A260" s="38">
        <v>41699</v>
      </c>
      <c r="B260" s="40">
        <v>5.75</v>
      </c>
      <c r="C260" s="60"/>
      <c r="D260" s="60"/>
      <c r="E260" s="60"/>
      <c r="F260" s="43"/>
      <c r="G260" s="9"/>
      <c r="H260" s="9"/>
      <c r="I260" s="9"/>
      <c r="J260" s="9"/>
      <c r="K260" s="9"/>
      <c r="L260" s="9"/>
    </row>
    <row r="261" spans="1:12" ht="12.75" x14ac:dyDescent="0.2">
      <c r="A261" s="38">
        <v>41730</v>
      </c>
      <c r="B261" s="40">
        <v>5.75</v>
      </c>
      <c r="C261" s="60"/>
      <c r="D261" s="60"/>
      <c r="E261" s="60"/>
      <c r="F261" s="43"/>
      <c r="G261" s="9"/>
      <c r="H261" s="9"/>
      <c r="I261" s="9"/>
      <c r="J261" s="9"/>
      <c r="K261" s="9"/>
      <c r="L261" s="9"/>
    </row>
    <row r="262" spans="1:12" ht="12.75" x14ac:dyDescent="0.2">
      <c r="A262" s="38">
        <v>41760</v>
      </c>
      <c r="B262" s="40">
        <v>5.75</v>
      </c>
      <c r="C262" s="60"/>
      <c r="D262" s="60"/>
      <c r="E262" s="60"/>
      <c r="F262" s="43"/>
      <c r="G262" s="9"/>
      <c r="H262" s="9"/>
      <c r="I262" s="9"/>
      <c r="J262" s="9"/>
      <c r="K262" s="9"/>
      <c r="L262" s="9"/>
    </row>
    <row r="263" spans="1:12" ht="12.75" x14ac:dyDescent="0.2">
      <c r="A263" s="38">
        <v>41791</v>
      </c>
      <c r="B263" s="40">
        <v>5.75</v>
      </c>
      <c r="C263" s="60"/>
      <c r="D263" s="60"/>
      <c r="E263" s="60"/>
      <c r="F263" s="43"/>
      <c r="G263" s="9"/>
      <c r="H263" s="9"/>
      <c r="I263" s="9"/>
      <c r="J263" s="9"/>
      <c r="K263" s="9"/>
      <c r="L263" s="9"/>
    </row>
    <row r="264" spans="1:12" ht="12.75" x14ac:dyDescent="0.2">
      <c r="A264" s="38">
        <v>41821</v>
      </c>
      <c r="B264" s="40">
        <v>5.75</v>
      </c>
      <c r="C264" s="60"/>
      <c r="D264" s="60"/>
      <c r="E264" s="60"/>
      <c r="F264" s="43"/>
      <c r="G264" s="9"/>
      <c r="H264" s="9"/>
      <c r="I264" s="9"/>
      <c r="J264" s="9"/>
      <c r="K264" s="9"/>
      <c r="L264" s="9"/>
    </row>
    <row r="265" spans="1:12" ht="12.75" x14ac:dyDescent="0.2">
      <c r="A265" s="38">
        <v>41852</v>
      </c>
      <c r="B265" s="40">
        <v>5.75</v>
      </c>
      <c r="C265" s="60"/>
      <c r="D265" s="60"/>
      <c r="E265" s="60"/>
      <c r="F265" s="43"/>
      <c r="G265" s="9"/>
      <c r="H265" s="9"/>
      <c r="I265" s="9"/>
      <c r="J265" s="9"/>
      <c r="K265" s="9"/>
      <c r="L265" s="9"/>
    </row>
    <row r="266" spans="1:12" ht="12.75" x14ac:dyDescent="0.2">
      <c r="A266" s="38">
        <v>41883</v>
      </c>
      <c r="B266" s="40">
        <v>5.75</v>
      </c>
      <c r="C266" s="60"/>
      <c r="D266" s="60"/>
      <c r="E266" s="60"/>
      <c r="F266" s="43"/>
      <c r="G266" s="9"/>
      <c r="H266" s="9"/>
      <c r="I266" s="9"/>
      <c r="J266" s="9"/>
      <c r="K266" s="9"/>
      <c r="L266" s="9"/>
    </row>
    <row r="267" spans="1:12" ht="12.75" x14ac:dyDescent="0.2">
      <c r="A267" s="38">
        <v>41913</v>
      </c>
      <c r="B267" s="40">
        <v>5.75</v>
      </c>
      <c r="C267" s="60"/>
      <c r="D267" s="60"/>
      <c r="E267" s="60"/>
      <c r="F267" s="43"/>
      <c r="G267" s="9"/>
      <c r="H267" s="9"/>
      <c r="I267" s="9"/>
      <c r="J267" s="9"/>
      <c r="K267" s="9"/>
      <c r="L267" s="9"/>
    </row>
    <row r="268" spans="1:12" ht="12.75" x14ac:dyDescent="0.2">
      <c r="A268" s="38">
        <v>41944</v>
      </c>
      <c r="B268" s="40">
        <v>5.75</v>
      </c>
      <c r="C268" s="60"/>
      <c r="D268" s="60"/>
      <c r="E268" s="60"/>
      <c r="F268" s="43"/>
      <c r="G268" s="9"/>
      <c r="H268" s="9"/>
      <c r="I268" s="9"/>
      <c r="J268" s="9"/>
      <c r="K268" s="9"/>
      <c r="L268" s="9"/>
    </row>
    <row r="269" spans="1:12" ht="12.75" x14ac:dyDescent="0.2">
      <c r="A269" s="38">
        <v>41974</v>
      </c>
      <c r="B269" s="40">
        <v>5.75</v>
      </c>
      <c r="C269" s="60"/>
      <c r="D269" s="60"/>
      <c r="E269" s="60"/>
      <c r="F269" s="43"/>
      <c r="G269" s="9"/>
      <c r="H269" s="9"/>
      <c r="I269" s="9"/>
      <c r="J269" s="9"/>
      <c r="K269" s="9"/>
      <c r="L269" s="9"/>
    </row>
    <row r="270" spans="1:12" ht="12.75" x14ac:dyDescent="0.2">
      <c r="A270" s="38">
        <v>42005</v>
      </c>
      <c r="B270" s="40">
        <v>5.75</v>
      </c>
      <c r="C270" s="60">
        <v>6.88</v>
      </c>
      <c r="D270" s="60">
        <v>1.75</v>
      </c>
      <c r="E270" s="60">
        <v>17.00902068608077</v>
      </c>
      <c r="F270" s="43">
        <v>5.2948254744300982</v>
      </c>
      <c r="G270" s="9">
        <v>4</v>
      </c>
      <c r="H270" s="9">
        <v>6</v>
      </c>
      <c r="I270" s="9"/>
      <c r="J270" s="9"/>
      <c r="K270" s="9"/>
      <c r="L270" s="9"/>
    </row>
    <row r="271" spans="1:12" ht="12.75" x14ac:dyDescent="0.2">
      <c r="A271" s="38">
        <v>42036</v>
      </c>
      <c r="B271" s="40">
        <v>5.75</v>
      </c>
      <c r="C271" s="60">
        <v>6.88</v>
      </c>
      <c r="D271" s="60">
        <v>1.73</v>
      </c>
      <c r="E271" s="60">
        <v>16.742214211807518</v>
      </c>
      <c r="F271" s="43">
        <v>4.5427049509922881</v>
      </c>
      <c r="G271" s="9">
        <v>4</v>
      </c>
      <c r="H271" s="9">
        <v>6</v>
      </c>
      <c r="I271" s="9"/>
      <c r="J271" s="9"/>
      <c r="K271" s="9"/>
      <c r="L271" s="9"/>
    </row>
    <row r="272" spans="1:12" ht="12.75" x14ac:dyDescent="0.2">
      <c r="A272" s="38">
        <v>42064</v>
      </c>
      <c r="B272" s="40">
        <v>5.75</v>
      </c>
      <c r="C272" s="60">
        <v>6.73</v>
      </c>
      <c r="D272" s="60">
        <v>1.69</v>
      </c>
      <c r="E272" s="60">
        <v>17.098851686283215</v>
      </c>
      <c r="F272" s="43">
        <v>3.9632145552600377</v>
      </c>
      <c r="G272" s="9">
        <v>4</v>
      </c>
      <c r="H272" s="9">
        <v>6</v>
      </c>
      <c r="I272" s="9"/>
      <c r="J272" s="9"/>
      <c r="K272" s="9"/>
      <c r="L272" s="9"/>
    </row>
    <row r="273" spans="1:12" ht="12.75" x14ac:dyDescent="0.2">
      <c r="A273" s="38">
        <v>42095</v>
      </c>
      <c r="B273" s="40">
        <v>5.5</v>
      </c>
      <c r="C273" s="60">
        <v>6.61</v>
      </c>
      <c r="D273" s="60">
        <v>1.75</v>
      </c>
      <c r="E273" s="60">
        <v>16.66066482316868</v>
      </c>
      <c r="F273" s="43">
        <v>4.4235402634468528</v>
      </c>
      <c r="G273" s="9">
        <v>4</v>
      </c>
      <c r="H273" s="9">
        <v>6</v>
      </c>
      <c r="I273" s="9"/>
      <c r="J273" s="9"/>
      <c r="K273" s="9"/>
      <c r="L273" s="9"/>
    </row>
    <row r="274" spans="1:12" ht="12.75" x14ac:dyDescent="0.2">
      <c r="A274" s="38">
        <v>42125</v>
      </c>
      <c r="B274" s="40">
        <v>5.5</v>
      </c>
      <c r="C274" s="60">
        <v>6.57</v>
      </c>
      <c r="D274" s="60">
        <v>1.8</v>
      </c>
      <c r="E274" s="60">
        <v>17.079184075841255</v>
      </c>
      <c r="F274" s="43">
        <v>3.9498502876937209</v>
      </c>
      <c r="G274" s="9">
        <v>4</v>
      </c>
      <c r="H274" s="9">
        <v>6</v>
      </c>
      <c r="I274" s="9"/>
      <c r="J274" s="9"/>
      <c r="K274" s="9"/>
      <c r="L274" s="9"/>
    </row>
    <row r="275" spans="1:12" ht="12.75" x14ac:dyDescent="0.2">
      <c r="A275" s="38">
        <v>42156</v>
      </c>
      <c r="B275" s="40">
        <v>5.5</v>
      </c>
      <c r="C275" s="60">
        <v>6.48</v>
      </c>
      <c r="D275" s="60">
        <v>1.71</v>
      </c>
      <c r="E275" s="60">
        <v>17.170732275776871</v>
      </c>
      <c r="F275" s="43">
        <v>4.3712827145978395</v>
      </c>
      <c r="G275" s="9">
        <v>4</v>
      </c>
      <c r="H275" s="9">
        <v>6</v>
      </c>
      <c r="I275" s="9"/>
      <c r="J275" s="9"/>
      <c r="K275" s="9"/>
      <c r="L275" s="9"/>
    </row>
    <row r="276" spans="1:12" ht="12.75" x14ac:dyDescent="0.2">
      <c r="A276" s="38">
        <v>42186</v>
      </c>
      <c r="B276" s="40">
        <v>5.5</v>
      </c>
      <c r="C276" s="60">
        <v>6.44</v>
      </c>
      <c r="D276" s="60">
        <v>1.75</v>
      </c>
      <c r="E276" s="60">
        <v>16.83804431102385</v>
      </c>
      <c r="F276" s="43">
        <v>3.798789438740485</v>
      </c>
      <c r="G276" s="9">
        <v>4</v>
      </c>
      <c r="H276" s="9">
        <v>6</v>
      </c>
      <c r="I276" s="9"/>
      <c r="J276" s="9"/>
      <c r="K276" s="9"/>
      <c r="L276" s="9"/>
    </row>
    <row r="277" spans="1:12" ht="12.75" x14ac:dyDescent="0.2">
      <c r="A277" s="38">
        <v>42217</v>
      </c>
      <c r="B277" s="40">
        <v>5.25</v>
      </c>
      <c r="C277" s="60">
        <v>6.35</v>
      </c>
      <c r="D277" s="60">
        <v>1.68</v>
      </c>
      <c r="E277" s="60">
        <v>17.169361963589733</v>
      </c>
      <c r="F277" s="43">
        <v>3.4778701591558132</v>
      </c>
      <c r="G277" s="9">
        <v>4</v>
      </c>
      <c r="H277" s="9">
        <v>6</v>
      </c>
      <c r="I277" s="9"/>
      <c r="J277" s="9"/>
      <c r="K277" s="9"/>
      <c r="L277" s="9"/>
    </row>
    <row r="278" spans="1:12" ht="12.75" x14ac:dyDescent="0.2">
      <c r="A278" s="38">
        <v>42248</v>
      </c>
      <c r="B278" s="40">
        <v>5.25</v>
      </c>
      <c r="C278" s="60">
        <v>6.2</v>
      </c>
      <c r="D278" s="60">
        <v>1.69</v>
      </c>
      <c r="E278" s="60">
        <v>16.986137045188659</v>
      </c>
      <c r="F278" s="43">
        <v>1.8175626056811751</v>
      </c>
      <c r="G278" s="9">
        <v>4</v>
      </c>
      <c r="H278" s="9">
        <v>6</v>
      </c>
      <c r="I278" s="9"/>
      <c r="J278" s="9"/>
      <c r="K278" s="9"/>
      <c r="L278" s="9"/>
    </row>
    <row r="279" spans="1:12" ht="12.75" x14ac:dyDescent="0.2">
      <c r="A279" s="38">
        <v>42278</v>
      </c>
      <c r="B279" s="40">
        <v>5.25</v>
      </c>
      <c r="C279" s="60">
        <v>6.13</v>
      </c>
      <c r="D279" s="60">
        <v>1.76</v>
      </c>
      <c r="E279" s="60">
        <v>17.006939835914842</v>
      </c>
      <c r="F279" s="43">
        <v>2.0342105463330853</v>
      </c>
      <c r="G279" s="9">
        <v>4</v>
      </c>
      <c r="H279" s="9">
        <v>6</v>
      </c>
      <c r="I279" s="9"/>
      <c r="J279" s="9"/>
      <c r="K279" s="9"/>
      <c r="L279" s="9"/>
    </row>
    <row r="280" spans="1:12" ht="12.75" x14ac:dyDescent="0.2">
      <c r="A280" s="38">
        <v>42309</v>
      </c>
      <c r="B280" s="40">
        <v>5.25</v>
      </c>
      <c r="C280" s="60">
        <v>6.15</v>
      </c>
      <c r="D280" s="60">
        <v>1.45</v>
      </c>
      <c r="E280" s="60">
        <v>17.032082615670831</v>
      </c>
      <c r="F280" s="43">
        <v>3.0812951354651545</v>
      </c>
      <c r="G280" s="9">
        <v>4</v>
      </c>
      <c r="H280" s="9">
        <v>6</v>
      </c>
      <c r="I280" s="9"/>
      <c r="J280" s="9"/>
      <c r="K280" s="9"/>
      <c r="L280" s="9"/>
    </row>
    <row r="281" spans="1:12" ht="12.75" x14ac:dyDescent="0.2">
      <c r="A281" s="38">
        <v>42339</v>
      </c>
      <c r="B281" s="40">
        <v>5.25</v>
      </c>
      <c r="C281" s="60">
        <v>5.96</v>
      </c>
      <c r="D281" s="60">
        <v>1.62</v>
      </c>
      <c r="E281" s="60">
        <v>16.924594414630466</v>
      </c>
      <c r="F281" s="43">
        <v>3.6610984146431207</v>
      </c>
      <c r="G281" s="9">
        <v>4</v>
      </c>
      <c r="H281" s="9">
        <v>6</v>
      </c>
      <c r="I281" s="9"/>
      <c r="J281" s="9"/>
      <c r="K281" s="9"/>
      <c r="L281" s="9"/>
    </row>
    <row r="282" spans="1:12" ht="12.75" x14ac:dyDescent="0.2">
      <c r="A282" s="38">
        <v>42370</v>
      </c>
      <c r="B282" s="40">
        <v>5.25</v>
      </c>
      <c r="C282" s="60">
        <v>5.94</v>
      </c>
      <c r="D282" s="60">
        <v>1.56</v>
      </c>
      <c r="E282" s="60">
        <v>17.273793742366223</v>
      </c>
      <c r="F282" s="43">
        <v>3.7208373232556369</v>
      </c>
      <c r="G282" s="9">
        <v>4</v>
      </c>
      <c r="H282" s="9">
        <v>6</v>
      </c>
      <c r="I282" s="9"/>
      <c r="J282" s="9"/>
      <c r="K282" s="9"/>
      <c r="L282" s="9"/>
    </row>
    <row r="283" spans="1:12" ht="12.75" x14ac:dyDescent="0.2">
      <c r="A283" s="38">
        <v>42401</v>
      </c>
      <c r="B283" s="40">
        <v>5.25</v>
      </c>
      <c r="C283" s="60">
        <v>6</v>
      </c>
      <c r="D283" s="60">
        <v>1.56</v>
      </c>
      <c r="E283" s="60">
        <v>16.805507838132801</v>
      </c>
      <c r="F283" s="43">
        <v>3.6428842161035107</v>
      </c>
      <c r="G283" s="9">
        <v>4</v>
      </c>
      <c r="H283" s="9">
        <v>6</v>
      </c>
      <c r="I283" s="9"/>
      <c r="J283" s="9"/>
      <c r="K283" s="9"/>
      <c r="L283" s="9"/>
    </row>
    <row r="284" spans="1:12" ht="12.75" x14ac:dyDescent="0.2">
      <c r="A284" s="38">
        <v>42430</v>
      </c>
      <c r="B284" s="40">
        <v>5.25</v>
      </c>
      <c r="C284" s="60">
        <v>5.75</v>
      </c>
      <c r="D284" s="60">
        <v>1.47</v>
      </c>
      <c r="E284" s="60">
        <v>16.670144840823816</v>
      </c>
      <c r="F284" s="43">
        <v>2.9625372416349336</v>
      </c>
      <c r="G284" s="9">
        <v>4</v>
      </c>
      <c r="H284" s="9">
        <v>6</v>
      </c>
      <c r="I284" s="9"/>
      <c r="J284" s="9"/>
      <c r="K284" s="9"/>
      <c r="L284" s="9"/>
    </row>
    <row r="285" spans="1:12" ht="12.75" x14ac:dyDescent="0.2">
      <c r="A285" s="38">
        <v>42461</v>
      </c>
      <c r="B285" s="40">
        <v>5.25</v>
      </c>
      <c r="C285" s="60">
        <v>5.65</v>
      </c>
      <c r="D285" s="60">
        <v>1.37</v>
      </c>
      <c r="E285" s="60">
        <v>16.606360732771115</v>
      </c>
      <c r="F285" s="43">
        <v>2.4109731503091751</v>
      </c>
      <c r="G285" s="9">
        <v>4</v>
      </c>
      <c r="H285" s="9">
        <v>6</v>
      </c>
      <c r="I285" s="9"/>
      <c r="J285" s="9"/>
      <c r="K285" s="9"/>
      <c r="L285" s="9"/>
    </row>
    <row r="286" spans="1:12" ht="12.75" x14ac:dyDescent="0.2">
      <c r="A286" s="38">
        <v>42491</v>
      </c>
      <c r="B286" s="40">
        <v>5</v>
      </c>
      <c r="C286" s="60">
        <v>5.8</v>
      </c>
      <c r="D286" s="60">
        <v>1.4</v>
      </c>
      <c r="E286" s="60">
        <v>16.498428959019172</v>
      </c>
      <c r="F286" s="43">
        <v>2.1304053270027907</v>
      </c>
      <c r="G286" s="9">
        <v>4</v>
      </c>
      <c r="H286" s="9">
        <v>6</v>
      </c>
      <c r="I286" s="9"/>
      <c r="J286" s="9"/>
      <c r="K286" s="9"/>
      <c r="L286" s="9"/>
    </row>
    <row r="287" spans="1:12" ht="12.75" x14ac:dyDescent="0.2">
      <c r="A287" s="38">
        <v>42522</v>
      </c>
      <c r="B287" s="40">
        <v>5</v>
      </c>
      <c r="C287" s="60">
        <v>5.86</v>
      </c>
      <c r="D287" s="60">
        <v>1.4</v>
      </c>
      <c r="E287" s="60">
        <v>16.436878813840682</v>
      </c>
      <c r="F287" s="43">
        <v>2.5129687074820737</v>
      </c>
      <c r="G287" s="9">
        <v>4</v>
      </c>
      <c r="H287" s="9">
        <v>6</v>
      </c>
      <c r="I287" s="9"/>
      <c r="J287" s="9"/>
      <c r="K287" s="9"/>
      <c r="L287" s="9"/>
    </row>
    <row r="288" spans="1:12" ht="12.75" x14ac:dyDescent="0.2">
      <c r="A288" s="38">
        <v>42552</v>
      </c>
      <c r="B288" s="40">
        <v>5</v>
      </c>
      <c r="C288" s="60">
        <v>5.77</v>
      </c>
      <c r="D288" s="60">
        <v>1.41</v>
      </c>
      <c r="E288" s="60">
        <v>16.407892235922269</v>
      </c>
      <c r="F288" s="43">
        <v>2.1418298728056868</v>
      </c>
      <c r="G288" s="9">
        <v>4</v>
      </c>
      <c r="H288" s="9">
        <v>6</v>
      </c>
      <c r="I288" s="9"/>
      <c r="J288" s="9"/>
      <c r="K288" s="9"/>
      <c r="L288" s="9"/>
    </row>
    <row r="289" spans="1:12" ht="0.75" customHeight="1" x14ac:dyDescent="0.2">
      <c r="A289" s="38">
        <v>42583</v>
      </c>
      <c r="B289" s="40">
        <v>5</v>
      </c>
      <c r="C289" s="60">
        <v>5.73</v>
      </c>
      <c r="D289" s="60">
        <v>1.45</v>
      </c>
      <c r="E289" s="60">
        <v>16.327489793162211</v>
      </c>
      <c r="F289" s="43">
        <v>1.7717807059609356</v>
      </c>
      <c r="G289" s="9">
        <v>4</v>
      </c>
      <c r="H289" s="9">
        <v>6</v>
      </c>
      <c r="I289" s="9"/>
      <c r="J289" s="9"/>
      <c r="K289" s="9"/>
      <c r="L289" s="9"/>
    </row>
    <row r="290" spans="1:12" ht="12.75" x14ac:dyDescent="0.2">
      <c r="A290" s="38">
        <v>42614</v>
      </c>
      <c r="B290" s="40">
        <v>5</v>
      </c>
      <c r="C290" s="60">
        <v>5.86</v>
      </c>
      <c r="D290" s="60">
        <v>1.39</v>
      </c>
      <c r="E290" s="60">
        <v>16.221872436280751</v>
      </c>
      <c r="F290" s="43">
        <v>1.8554830833031275</v>
      </c>
      <c r="G290" s="9">
        <v>4</v>
      </c>
      <c r="H290" s="9">
        <v>6</v>
      </c>
      <c r="I290" s="9"/>
      <c r="J290" s="9"/>
      <c r="K290" s="9"/>
      <c r="L290" s="9"/>
    </row>
    <row r="291" spans="1:12" ht="12.75" x14ac:dyDescent="0.2">
      <c r="A291" s="38">
        <v>42644</v>
      </c>
      <c r="B291" s="40">
        <v>5</v>
      </c>
      <c r="C291" s="60">
        <v>5.7</v>
      </c>
      <c r="D291" s="60">
        <v>1.44</v>
      </c>
      <c r="E291" s="60">
        <v>16.208509898374512</v>
      </c>
      <c r="F291" s="43">
        <v>1.7832340964834401</v>
      </c>
      <c r="G291" s="9">
        <v>4</v>
      </c>
      <c r="H291" s="9">
        <v>6</v>
      </c>
      <c r="I291" s="9"/>
      <c r="J291" s="9"/>
      <c r="K291" s="9"/>
      <c r="L291" s="9"/>
    </row>
    <row r="292" spans="1:12" ht="12.75" x14ac:dyDescent="0.2">
      <c r="A292" s="38">
        <v>42675</v>
      </c>
      <c r="B292" s="40">
        <v>5</v>
      </c>
      <c r="C292" s="60">
        <v>5.7</v>
      </c>
      <c r="D292" s="60">
        <v>1.44</v>
      </c>
      <c r="E292" s="60">
        <v>16.209025557887408</v>
      </c>
      <c r="F292" s="43">
        <v>1.6563105725399652</v>
      </c>
      <c r="G292" s="9">
        <v>4</v>
      </c>
      <c r="H292" s="9">
        <v>6</v>
      </c>
      <c r="I292" s="9"/>
      <c r="J292" s="9"/>
      <c r="K292" s="9"/>
      <c r="L292" s="9"/>
    </row>
    <row r="293" spans="1:12" ht="12.75" x14ac:dyDescent="0.2">
      <c r="A293" s="38">
        <v>42705</v>
      </c>
      <c r="B293" s="40">
        <v>5</v>
      </c>
      <c r="C293" s="60">
        <v>5.68</v>
      </c>
      <c r="D293" s="60">
        <v>1.34</v>
      </c>
      <c r="E293" s="60">
        <v>16.196420597021042</v>
      </c>
      <c r="F293" s="43">
        <v>1.7247639252902189</v>
      </c>
      <c r="G293" s="9">
        <v>4</v>
      </c>
      <c r="H293" s="9">
        <v>6</v>
      </c>
      <c r="I293" s="9"/>
      <c r="J293" s="9"/>
      <c r="K293" s="9"/>
      <c r="L293" s="9"/>
    </row>
    <row r="294" spans="1:12" ht="12.75" x14ac:dyDescent="0.2">
      <c r="A294" s="38">
        <v>42736</v>
      </c>
      <c r="B294" s="40">
        <v>5</v>
      </c>
      <c r="C294" s="60">
        <v>5.62</v>
      </c>
      <c r="D294" s="60">
        <v>1.41</v>
      </c>
      <c r="E294" s="60">
        <v>16.120535475027474</v>
      </c>
      <c r="F294" s="43">
        <v>2.5901150107034709</v>
      </c>
      <c r="G294" s="9">
        <v>4</v>
      </c>
      <c r="H294" s="9">
        <v>6</v>
      </c>
      <c r="I294" s="9"/>
      <c r="J294" s="9"/>
      <c r="K294" s="9"/>
      <c r="L294" s="9"/>
    </row>
    <row r="295" spans="1:12" ht="12.75" x14ac:dyDescent="0.2">
      <c r="A295" s="38">
        <v>42767</v>
      </c>
      <c r="B295" s="40">
        <v>5</v>
      </c>
      <c r="C295" s="60">
        <v>5.92</v>
      </c>
      <c r="D295" s="60">
        <v>1.42</v>
      </c>
      <c r="E295" s="60">
        <v>14.983950845950119</v>
      </c>
      <c r="F295" s="43">
        <v>3.5559560355965942</v>
      </c>
      <c r="G295" s="9">
        <v>4</v>
      </c>
      <c r="H295" s="9">
        <v>6</v>
      </c>
      <c r="I295" s="9"/>
      <c r="J295" s="9"/>
      <c r="K295" s="9"/>
      <c r="L295" s="9"/>
    </row>
    <row r="296" spans="1:12" ht="12.75" x14ac:dyDescent="0.2">
      <c r="A296" s="38">
        <v>42795</v>
      </c>
      <c r="B296" s="40">
        <v>5</v>
      </c>
      <c r="C296" s="60">
        <v>6.13</v>
      </c>
      <c r="D296" s="60">
        <v>1.42</v>
      </c>
      <c r="E296" s="60">
        <v>14.935499559756531</v>
      </c>
      <c r="F296" s="43">
        <v>4.0876135813711301</v>
      </c>
      <c r="G296" s="9">
        <v>4</v>
      </c>
      <c r="H296" s="9">
        <v>6</v>
      </c>
      <c r="I296" s="9"/>
      <c r="J296" s="9"/>
      <c r="K296" s="9"/>
      <c r="L296" s="9"/>
    </row>
    <row r="297" spans="1:12" ht="12.75" x14ac:dyDescent="0.2">
      <c r="A297" s="38">
        <v>42826</v>
      </c>
      <c r="B297" s="40">
        <v>4.75</v>
      </c>
      <c r="C297" s="60">
        <v>5.72</v>
      </c>
      <c r="D297" s="60">
        <v>1.41</v>
      </c>
      <c r="E297" s="60">
        <v>14.83307543763858</v>
      </c>
      <c r="F297" s="43">
        <v>4.7754470406489844</v>
      </c>
      <c r="G297" s="9">
        <v>4</v>
      </c>
      <c r="H297" s="9">
        <v>6</v>
      </c>
      <c r="I297" s="9"/>
      <c r="J297" s="9"/>
      <c r="K297" s="9"/>
      <c r="L297" s="9"/>
    </row>
    <row r="298" spans="1:12" ht="12.75" x14ac:dyDescent="0.2">
      <c r="A298" s="38">
        <v>42856</v>
      </c>
      <c r="B298" s="40">
        <v>4.75</v>
      </c>
      <c r="C298" s="60">
        <v>5.65</v>
      </c>
      <c r="D298" s="60">
        <v>1.39</v>
      </c>
      <c r="E298" s="60">
        <v>14.818473192557779</v>
      </c>
      <c r="F298" s="43">
        <v>4.6349917188422012</v>
      </c>
      <c r="G298" s="9">
        <v>4</v>
      </c>
      <c r="H298" s="9">
        <v>6</v>
      </c>
      <c r="I298" s="9"/>
      <c r="J298" s="9"/>
      <c r="K298" s="9"/>
      <c r="L298" s="9"/>
    </row>
    <row r="299" spans="1:12" ht="12.75" x14ac:dyDescent="0.2">
      <c r="A299" s="38">
        <v>42887</v>
      </c>
      <c r="B299" s="40">
        <v>4.75</v>
      </c>
      <c r="C299" s="60">
        <v>5.77</v>
      </c>
      <c r="D299" s="60">
        <v>1.61</v>
      </c>
      <c r="E299" s="60">
        <v>14.951996898540237</v>
      </c>
      <c r="F299" s="43">
        <v>4.4384901123631408</v>
      </c>
      <c r="G299" s="9">
        <v>4</v>
      </c>
      <c r="H299" s="9">
        <v>6</v>
      </c>
      <c r="I299" s="9"/>
      <c r="J299" s="9"/>
      <c r="K299" s="9"/>
      <c r="L299" s="9"/>
    </row>
    <row r="300" spans="1:12" ht="12.75" x14ac:dyDescent="0.2">
      <c r="A300" s="38">
        <v>42917</v>
      </c>
      <c r="B300" s="40">
        <v>3.75</v>
      </c>
      <c r="C300" s="60">
        <v>5.63</v>
      </c>
      <c r="D300" s="60">
        <v>1.68</v>
      </c>
      <c r="E300" s="60">
        <v>14.840522851107973</v>
      </c>
      <c r="F300" s="43">
        <v>4.5469021734871831</v>
      </c>
      <c r="G300" s="9">
        <v>4</v>
      </c>
      <c r="H300" s="9">
        <v>6</v>
      </c>
      <c r="I300" s="9"/>
      <c r="J300" s="9"/>
      <c r="K300" s="9"/>
      <c r="L300" s="9"/>
    </row>
    <row r="301" spans="1:12" ht="12.75" x14ac:dyDescent="0.2">
      <c r="A301" s="38">
        <v>42948</v>
      </c>
      <c r="B301" s="40">
        <v>3.5</v>
      </c>
      <c r="C301" s="60">
        <v>5.5</v>
      </c>
      <c r="D301" s="60">
        <v>1.83</v>
      </c>
      <c r="E301" s="60">
        <v>14.809748278962726</v>
      </c>
      <c r="F301" s="43">
        <v>4.4194401140201762</v>
      </c>
      <c r="G301" s="9">
        <v>4</v>
      </c>
      <c r="H301" s="9">
        <v>6</v>
      </c>
      <c r="I301" s="9"/>
      <c r="J301" s="9"/>
      <c r="K301" s="9"/>
      <c r="L301" s="9"/>
    </row>
    <row r="302" spans="1:12" ht="12.75" x14ac:dyDescent="0.2">
      <c r="A302" s="38">
        <v>42979</v>
      </c>
      <c r="B302" s="40">
        <v>3.5</v>
      </c>
      <c r="C302" s="60">
        <v>4.9800000000000004</v>
      </c>
      <c r="D302" s="60">
        <v>1.81</v>
      </c>
      <c r="E302" s="60">
        <v>14.635526152713798</v>
      </c>
      <c r="F302" s="43">
        <v>4.5843582560641352</v>
      </c>
      <c r="G302" s="9">
        <v>4</v>
      </c>
      <c r="H302" s="9">
        <v>6</v>
      </c>
      <c r="I302" s="9"/>
      <c r="J302" s="9"/>
      <c r="K302" s="9"/>
      <c r="L302" s="9"/>
    </row>
    <row r="303" spans="1:12" ht="12.75" x14ac:dyDescent="0.2">
      <c r="A303" s="38">
        <v>43009</v>
      </c>
      <c r="B303" s="40">
        <v>3.5</v>
      </c>
      <c r="C303" s="60">
        <v>4.58</v>
      </c>
      <c r="D303" s="60">
        <v>1.86</v>
      </c>
      <c r="E303" s="60">
        <v>14.615621115862025</v>
      </c>
      <c r="F303" s="43">
        <v>4.6975790304748131</v>
      </c>
      <c r="G303" s="9">
        <v>4</v>
      </c>
      <c r="H303" s="9">
        <v>6</v>
      </c>
      <c r="I303" s="9"/>
      <c r="J303" s="9"/>
      <c r="K303" s="9"/>
      <c r="L303" s="9"/>
    </row>
    <row r="304" spans="1:12" ht="12.75" x14ac:dyDescent="0.2">
      <c r="A304" s="38">
        <v>43040</v>
      </c>
      <c r="B304" s="40">
        <v>3.25</v>
      </c>
      <c r="C304" s="60">
        <v>4.26</v>
      </c>
      <c r="D304" s="60">
        <v>1.64</v>
      </c>
      <c r="E304" s="60">
        <v>14.62633172678661</v>
      </c>
      <c r="F304" s="43">
        <v>4.9257172770858659</v>
      </c>
      <c r="G304" s="9">
        <v>4</v>
      </c>
      <c r="H304" s="9">
        <v>6</v>
      </c>
      <c r="I304" s="9"/>
      <c r="J304" s="9"/>
      <c r="K304" s="9"/>
      <c r="L304" s="9"/>
    </row>
    <row r="305" spans="1:12" ht="12.75" x14ac:dyDescent="0.2">
      <c r="A305" s="38">
        <v>43070</v>
      </c>
      <c r="B305" s="40">
        <v>3.25</v>
      </c>
      <c r="C305" s="60">
        <v>4.18</v>
      </c>
      <c r="D305" s="60">
        <v>1.57</v>
      </c>
      <c r="E305" s="60">
        <v>14.585570720553424</v>
      </c>
      <c r="F305" s="43">
        <v>5.2351336939905195</v>
      </c>
      <c r="G305" s="9">
        <v>4</v>
      </c>
      <c r="H305" s="9">
        <v>6</v>
      </c>
      <c r="I305" s="9"/>
      <c r="J305" s="9"/>
      <c r="K305" s="9"/>
      <c r="L305" s="9"/>
    </row>
    <row r="306" spans="1:12" ht="12.75" x14ac:dyDescent="0.2">
      <c r="A306" s="38">
        <v>43101</v>
      </c>
      <c r="B306" s="40">
        <v>3</v>
      </c>
      <c r="C306" s="60">
        <v>3.99</v>
      </c>
      <c r="D306" s="60">
        <v>1.61</v>
      </c>
      <c r="E306" s="60">
        <v>14.458581804610581</v>
      </c>
      <c r="F306" s="43">
        <v>4.7702440535978923</v>
      </c>
      <c r="G306" s="9">
        <v>4</v>
      </c>
      <c r="H306" s="9">
        <v>6</v>
      </c>
      <c r="I306" s="9"/>
      <c r="J306" s="9"/>
      <c r="K306" s="9"/>
      <c r="L306" s="9"/>
    </row>
    <row r="307" spans="1:12" ht="12.75" x14ac:dyDescent="0.2">
      <c r="A307" s="38">
        <v>43132</v>
      </c>
      <c r="B307" s="40">
        <v>2.75</v>
      </c>
      <c r="C307" s="60">
        <v>3.35</v>
      </c>
      <c r="D307" s="60">
        <v>1.64</v>
      </c>
      <c r="E307" s="60">
        <v>14.40302349384079</v>
      </c>
      <c r="F307" s="43">
        <v>4.4259207968075884</v>
      </c>
      <c r="G307" s="9">
        <v>4</v>
      </c>
      <c r="H307" s="9">
        <v>6</v>
      </c>
      <c r="I307" s="9"/>
      <c r="J307" s="9"/>
      <c r="K307" s="9"/>
      <c r="L307" s="9"/>
    </row>
    <row r="308" spans="1:12" ht="12.75" x14ac:dyDescent="0.2">
      <c r="A308" s="38">
        <v>43160</v>
      </c>
      <c r="B308" s="40">
        <v>2.75</v>
      </c>
      <c r="C308" s="60">
        <v>2.98</v>
      </c>
      <c r="D308" s="60">
        <v>1.48</v>
      </c>
      <c r="E308" s="60">
        <v>14.319380046213464</v>
      </c>
      <c r="F308" s="43">
        <v>3.9365041088844919</v>
      </c>
      <c r="G308" s="9">
        <v>4</v>
      </c>
      <c r="H308" s="9">
        <v>6</v>
      </c>
      <c r="I308" s="9"/>
      <c r="J308" s="9"/>
      <c r="K308" s="9"/>
      <c r="L308" s="9"/>
    </row>
    <row r="309" spans="1:12" ht="12.75" x14ac:dyDescent="0.2">
      <c r="A309" s="38">
        <v>43191</v>
      </c>
      <c r="B309" s="40">
        <v>2.75</v>
      </c>
      <c r="C309" s="60">
        <v>2.82</v>
      </c>
      <c r="D309" s="60">
        <v>1.44</v>
      </c>
      <c r="E309" s="60">
        <v>14.140732694356265</v>
      </c>
      <c r="F309" s="43">
        <v>3.2142024971165313</v>
      </c>
      <c r="G309" s="9">
        <v>4</v>
      </c>
      <c r="H309" s="9">
        <v>6</v>
      </c>
      <c r="I309" s="9"/>
      <c r="J309" s="9"/>
      <c r="K309" s="9"/>
      <c r="L309" s="9"/>
    </row>
    <row r="310" spans="1:12" ht="12.75" x14ac:dyDescent="0.2">
      <c r="A310" s="38">
        <v>43221</v>
      </c>
      <c r="B310" s="40">
        <v>2.5</v>
      </c>
      <c r="C310" s="60">
        <v>2.71</v>
      </c>
      <c r="D310" s="60">
        <v>1.41</v>
      </c>
      <c r="E310" s="60">
        <v>14.178954903899465</v>
      </c>
      <c r="F310" s="43">
        <v>3.0741742765018074</v>
      </c>
      <c r="G310" s="9">
        <v>4</v>
      </c>
      <c r="H310" s="9">
        <v>6</v>
      </c>
      <c r="I310" s="9"/>
      <c r="J310" s="9"/>
      <c r="K310" s="9"/>
      <c r="L310" s="9"/>
    </row>
    <row r="311" spans="1:12" ht="12.75" x14ac:dyDescent="0.2">
      <c r="A311" s="38">
        <v>43252</v>
      </c>
      <c r="B311" s="40">
        <v>2</v>
      </c>
      <c r="C311" s="60">
        <v>2.54</v>
      </c>
      <c r="D311" s="60">
        <v>1.38</v>
      </c>
      <c r="E311" s="60">
        <v>14.106882407249094</v>
      </c>
      <c r="F311" s="43">
        <v>2.816991967594177</v>
      </c>
      <c r="G311" s="9">
        <v>4</v>
      </c>
      <c r="H311" s="9">
        <v>6</v>
      </c>
      <c r="I311" s="9"/>
      <c r="J311" s="9"/>
      <c r="K311" s="9"/>
      <c r="L311" s="9"/>
    </row>
    <row r="312" spans="1:12" ht="12.75" x14ac:dyDescent="0.2">
      <c r="A312" s="38">
        <v>43282</v>
      </c>
      <c r="B312" s="40">
        <v>2</v>
      </c>
      <c r="C312" s="60">
        <v>1.96</v>
      </c>
      <c r="D312" s="60">
        <v>1.36</v>
      </c>
      <c r="E312" s="60">
        <v>14.051467155622751</v>
      </c>
      <c r="F312" s="43">
        <v>3.2121548080595232</v>
      </c>
      <c r="G312" s="9">
        <v>4</v>
      </c>
      <c r="H312" s="9">
        <v>6</v>
      </c>
      <c r="I312" s="9"/>
      <c r="J312" s="9"/>
      <c r="K312" s="9"/>
      <c r="L312" s="9"/>
    </row>
    <row r="313" spans="1:12" ht="12.75" x14ac:dyDescent="0.2">
      <c r="A313" s="38">
        <v>43313</v>
      </c>
      <c r="B313" s="40">
        <v>2</v>
      </c>
      <c r="C313" s="60">
        <v>1.69</v>
      </c>
      <c r="D313" s="60">
        <v>1.32</v>
      </c>
      <c r="E313" s="60">
        <v>14.071481848194047</v>
      </c>
      <c r="F313" s="43">
        <v>3.8735112621256036</v>
      </c>
      <c r="G313" s="9">
        <v>4</v>
      </c>
      <c r="H313" s="9">
        <v>6</v>
      </c>
      <c r="I313" s="9"/>
      <c r="J313" s="9"/>
      <c r="K313" s="9"/>
      <c r="L313" s="9"/>
    </row>
    <row r="314" spans="1:12" ht="12.75" x14ac:dyDescent="0.2">
      <c r="A314" s="38">
        <v>43344</v>
      </c>
      <c r="B314" s="40">
        <v>2</v>
      </c>
      <c r="C314" s="60">
        <v>1.71</v>
      </c>
      <c r="D314" s="60">
        <v>1.31</v>
      </c>
      <c r="E314" s="60">
        <v>14.029470529509732</v>
      </c>
      <c r="F314" s="43">
        <v>4.3294261705280235</v>
      </c>
      <c r="G314" s="9">
        <v>4</v>
      </c>
      <c r="H314" s="9">
        <v>6</v>
      </c>
      <c r="I314" s="9"/>
      <c r="J314" s="9"/>
      <c r="K314" s="9"/>
      <c r="L314" s="9"/>
    </row>
    <row r="315" spans="1:12" ht="12.75" x14ac:dyDescent="0.2">
      <c r="A315" s="38">
        <v>43374</v>
      </c>
      <c r="B315" s="40">
        <v>2</v>
      </c>
      <c r="C315" s="60">
        <v>1.79</v>
      </c>
      <c r="D315" s="60">
        <v>1.26</v>
      </c>
      <c r="E315" s="60">
        <v>13.863046880588055</v>
      </c>
      <c r="F315" s="43">
        <v>4.7150153769332235</v>
      </c>
      <c r="G315" s="9">
        <v>4</v>
      </c>
      <c r="H315" s="9">
        <v>6</v>
      </c>
      <c r="I315" s="9"/>
      <c r="J315" s="9"/>
      <c r="K315" s="9"/>
      <c r="L315" s="9"/>
    </row>
    <row r="316" spans="1:12" ht="12.75" x14ac:dyDescent="0.2">
      <c r="A316" s="38">
        <v>43405</v>
      </c>
      <c r="B316" s="40">
        <v>2</v>
      </c>
      <c r="C316" s="60">
        <v>1.95</v>
      </c>
      <c r="D316" s="60">
        <v>1.43</v>
      </c>
      <c r="E316" s="60">
        <v>14.049931000434905</v>
      </c>
      <c r="F316" s="43">
        <v>4.0996311689699922</v>
      </c>
      <c r="G316" s="9">
        <v>4</v>
      </c>
      <c r="H316" s="9">
        <v>6</v>
      </c>
      <c r="I316" s="9"/>
      <c r="J316" s="9"/>
      <c r="K316" s="9"/>
      <c r="L316" s="9"/>
    </row>
    <row r="317" spans="1:12" ht="12.75" x14ac:dyDescent="0.2">
      <c r="A317" s="38">
        <v>43435</v>
      </c>
      <c r="B317" s="40">
        <v>1.75</v>
      </c>
      <c r="C317" s="60">
        <v>2.0499999999999998</v>
      </c>
      <c r="D317" s="60">
        <v>1.28</v>
      </c>
      <c r="E317" s="60">
        <v>13.455932033275463</v>
      </c>
      <c r="F317" s="43">
        <v>2.4397063385212618</v>
      </c>
      <c r="G317" s="9">
        <v>4</v>
      </c>
      <c r="H317" s="9">
        <v>6</v>
      </c>
      <c r="I317" s="9"/>
      <c r="J317" s="9"/>
      <c r="K317" s="9"/>
      <c r="L317" s="9"/>
    </row>
    <row r="318" spans="1:12" ht="12.75" x14ac:dyDescent="0.2">
      <c r="A318" s="38">
        <v>43466</v>
      </c>
      <c r="B318" s="40">
        <v>1.75</v>
      </c>
      <c r="C318" s="60">
        <v>2.27</v>
      </c>
      <c r="D318" s="60">
        <v>1.28</v>
      </c>
      <c r="E318" s="60">
        <v>13.317653751107528</v>
      </c>
      <c r="F318" s="43">
        <v>2.2511304871801485</v>
      </c>
      <c r="G318" s="9">
        <v>4</v>
      </c>
      <c r="H318" s="9">
        <v>6</v>
      </c>
      <c r="I318" s="9"/>
      <c r="J318" s="9"/>
      <c r="K318" s="9"/>
      <c r="L318" s="9"/>
    </row>
    <row r="319" spans="1:12" ht="12.75" x14ac:dyDescent="0.2">
      <c r="A319" s="38">
        <v>43497</v>
      </c>
      <c r="B319" s="40">
        <v>1.5</v>
      </c>
      <c r="C319" s="60">
        <v>2.27</v>
      </c>
      <c r="D319" s="60">
        <v>1.3</v>
      </c>
      <c r="E319" s="60">
        <v>13.301840221451236</v>
      </c>
      <c r="F319" s="43">
        <v>2.4383173625066377</v>
      </c>
      <c r="G319" s="9">
        <v>4</v>
      </c>
      <c r="H319" s="9">
        <v>6</v>
      </c>
      <c r="I319" s="9"/>
      <c r="J319" s="9"/>
      <c r="K319" s="9"/>
      <c r="L319" s="9"/>
    </row>
    <row r="320" spans="1:12" ht="12.75" x14ac:dyDescent="0.2">
      <c r="A320" s="38">
        <v>43525</v>
      </c>
      <c r="B320" s="40">
        <v>1.25</v>
      </c>
      <c r="C320" s="60">
        <v>2.19</v>
      </c>
      <c r="D320" s="60">
        <v>1.23</v>
      </c>
      <c r="E320" s="60">
        <v>13.30002398562454</v>
      </c>
      <c r="F320" s="43">
        <v>3.3911813103635069</v>
      </c>
      <c r="G320" s="9">
        <v>4</v>
      </c>
      <c r="H320" s="9">
        <v>6</v>
      </c>
      <c r="I320" s="9"/>
      <c r="J320" s="9"/>
      <c r="K320" s="9"/>
      <c r="L320" s="9"/>
    </row>
    <row r="321" spans="1:12" ht="12.75" x14ac:dyDescent="0.2">
      <c r="A321" s="38">
        <v>43556</v>
      </c>
      <c r="B321" s="40">
        <v>1.25</v>
      </c>
      <c r="C321" s="60">
        <v>2.16</v>
      </c>
      <c r="D321" s="60">
        <v>1.25</v>
      </c>
      <c r="E321" s="60">
        <v>13.24936902552205</v>
      </c>
      <c r="F321" s="43">
        <v>3.9431219215646536</v>
      </c>
      <c r="G321" s="9">
        <v>4</v>
      </c>
      <c r="H321" s="9">
        <v>6</v>
      </c>
      <c r="I321" s="9"/>
      <c r="J321" s="9"/>
      <c r="K321" s="9"/>
      <c r="L321" s="9"/>
    </row>
    <row r="322" spans="1:12" ht="12.75" x14ac:dyDescent="0.2">
      <c r="A322" s="38">
        <v>43586</v>
      </c>
      <c r="B322" s="40">
        <v>0.75</v>
      </c>
      <c r="C322" s="60">
        <v>2.1</v>
      </c>
      <c r="D322" s="60">
        <v>1.26</v>
      </c>
      <c r="E322" s="60">
        <v>13.35300287064744</v>
      </c>
      <c r="F322" s="43">
        <v>4.769990550343195</v>
      </c>
      <c r="G322" s="9">
        <v>4</v>
      </c>
      <c r="H322" s="9">
        <v>6</v>
      </c>
      <c r="I322" s="9"/>
      <c r="J322" s="9"/>
      <c r="K322" s="9"/>
      <c r="L322" s="9"/>
    </row>
    <row r="323" spans="1:12" ht="12.75" x14ac:dyDescent="0.2">
      <c r="A323" s="38">
        <v>43617</v>
      </c>
      <c r="B323" s="40">
        <v>0.75</v>
      </c>
      <c r="C323" s="60">
        <v>1.95</v>
      </c>
      <c r="D323" s="60">
        <v>1.18</v>
      </c>
      <c r="E323" s="60">
        <v>13.094340803626995</v>
      </c>
      <c r="F323" s="43">
        <v>4.1904279742617518</v>
      </c>
      <c r="G323" s="9">
        <v>4</v>
      </c>
      <c r="H323" s="9">
        <v>6</v>
      </c>
      <c r="I323" s="9"/>
      <c r="J323" s="9"/>
      <c r="K323" s="9"/>
      <c r="L323" s="9"/>
    </row>
    <row r="324" spans="1:12" ht="12.75" x14ac:dyDescent="0.2">
      <c r="A324" s="38">
        <v>43647</v>
      </c>
      <c r="B324" s="40">
        <v>0.75</v>
      </c>
      <c r="C324" s="60">
        <v>1.8</v>
      </c>
      <c r="D324" s="60">
        <v>1.1599999999999999</v>
      </c>
      <c r="E324" s="60">
        <v>12.99911378016788</v>
      </c>
      <c r="F324" s="43">
        <v>4.2752065716518075</v>
      </c>
      <c r="G324" s="9">
        <v>4</v>
      </c>
      <c r="H324" s="9">
        <v>6</v>
      </c>
      <c r="I324" s="9"/>
      <c r="J324" s="9"/>
      <c r="K324" s="9"/>
      <c r="L324" s="9"/>
    </row>
    <row r="325" spans="1:12" ht="12.75" x14ac:dyDescent="0.2">
      <c r="A325" s="38">
        <v>43678</v>
      </c>
      <c r="B325" s="40">
        <v>0.5</v>
      </c>
      <c r="C325" s="60">
        <v>1.84</v>
      </c>
      <c r="D325" s="60">
        <v>1.1000000000000001</v>
      </c>
      <c r="E325" s="60">
        <v>12.936100531739923</v>
      </c>
      <c r="F325" s="43">
        <v>4.0928379495750704</v>
      </c>
      <c r="G325" s="9">
        <v>4</v>
      </c>
      <c r="H325" s="9">
        <v>6</v>
      </c>
      <c r="I325" s="9"/>
      <c r="J325" s="9"/>
      <c r="K325" s="9"/>
      <c r="L325" s="9"/>
    </row>
    <row r="326" spans="1:12" ht="12.75" x14ac:dyDescent="0.2">
      <c r="A326" s="38">
        <v>43709</v>
      </c>
      <c r="B326" s="40">
        <v>0.5</v>
      </c>
      <c r="C326" s="60">
        <v>1.74</v>
      </c>
      <c r="D326" s="60">
        <v>1.1000000000000001</v>
      </c>
      <c r="E326" s="60">
        <v>12.902943564326074</v>
      </c>
      <c r="F326" s="43">
        <v>3.3878190184126566</v>
      </c>
      <c r="G326" s="9">
        <v>4</v>
      </c>
      <c r="H326" s="9">
        <v>6</v>
      </c>
      <c r="I326" s="9"/>
      <c r="J326" s="9"/>
      <c r="K326" s="9"/>
      <c r="L326" s="9"/>
    </row>
    <row r="327" spans="1:12" ht="12.75" x14ac:dyDescent="0.2">
      <c r="A327" s="38">
        <v>43739</v>
      </c>
      <c r="B327" s="40">
        <v>0.5</v>
      </c>
      <c r="C327" s="60">
        <v>1.55</v>
      </c>
      <c r="D327" s="60">
        <v>1.08</v>
      </c>
      <c r="E327" s="60">
        <v>12.640094930586754</v>
      </c>
      <c r="F327" s="43">
        <v>3.2670830640312118</v>
      </c>
      <c r="G327" s="9">
        <v>4</v>
      </c>
      <c r="H327" s="9">
        <v>6</v>
      </c>
      <c r="I327" s="9"/>
      <c r="J327" s="9"/>
      <c r="K327" s="9"/>
      <c r="L327" s="9"/>
    </row>
    <row r="328" spans="1:12" ht="12.75" x14ac:dyDescent="0.2">
      <c r="A328" s="38">
        <v>43770</v>
      </c>
      <c r="B328" s="40">
        <v>0.5</v>
      </c>
      <c r="C328" s="60">
        <v>1.61</v>
      </c>
      <c r="D328" s="60">
        <v>1.1000000000000001</v>
      </c>
      <c r="E328" s="60">
        <v>12.420151844873923</v>
      </c>
      <c r="F328" s="43">
        <v>4.6419203066572692</v>
      </c>
      <c r="G328" s="9">
        <v>4</v>
      </c>
      <c r="H328" s="9">
        <v>6</v>
      </c>
      <c r="I328" s="9"/>
      <c r="J328" s="9"/>
      <c r="K328" s="9"/>
      <c r="L328" s="9"/>
    </row>
    <row r="329" spans="1:12" ht="12.75" x14ac:dyDescent="0.2">
      <c r="A329" s="38">
        <v>43800</v>
      </c>
      <c r="B329" s="40">
        <v>0.5</v>
      </c>
      <c r="C329" s="60">
        <v>1.32</v>
      </c>
      <c r="D329" s="60">
        <v>1.1000000000000001</v>
      </c>
      <c r="E329" s="60">
        <v>12.466827904419663</v>
      </c>
      <c r="F329" s="48">
        <v>6.2188564718601356</v>
      </c>
      <c r="G329" s="9">
        <v>4</v>
      </c>
      <c r="H329" s="9">
        <v>6</v>
      </c>
      <c r="I329" s="9"/>
      <c r="J329" s="9"/>
      <c r="K329" s="9"/>
      <c r="L329" s="9"/>
    </row>
    <row r="330" spans="1:12" ht="12.75" x14ac:dyDescent="0.2">
      <c r="A330" s="38">
        <v>43831</v>
      </c>
      <c r="B330" s="40">
        <v>0.5</v>
      </c>
      <c r="C330" s="60">
        <v>1.25</v>
      </c>
      <c r="D330" s="60">
        <v>1.07</v>
      </c>
      <c r="E330" s="60">
        <v>12.366149922114936</v>
      </c>
      <c r="F330" s="43">
        <v>5.2443394624691422</v>
      </c>
      <c r="G330" s="9">
        <v>4</v>
      </c>
      <c r="H330" s="9">
        <v>6</v>
      </c>
      <c r="I330" s="9"/>
      <c r="J330" s="9"/>
      <c r="K330" s="9"/>
      <c r="L330" s="9"/>
    </row>
    <row r="331" spans="1:12" ht="12.75" x14ac:dyDescent="0.2">
      <c r="A331" s="38">
        <v>43862</v>
      </c>
      <c r="B331" s="40">
        <v>0.5</v>
      </c>
      <c r="C331" s="60">
        <v>1.34</v>
      </c>
      <c r="D331" s="60">
        <v>1.07</v>
      </c>
      <c r="E331" s="60">
        <v>12.309034612523147</v>
      </c>
      <c r="F331" s="43">
        <v>5.9613190469567172</v>
      </c>
      <c r="G331" s="9">
        <v>4</v>
      </c>
      <c r="H331" s="9">
        <v>6</v>
      </c>
      <c r="I331" s="9"/>
      <c r="J331" s="9"/>
      <c r="K331" s="9"/>
      <c r="L331" s="9"/>
    </row>
    <row r="332" spans="1:12" ht="12.75" x14ac:dyDescent="0.2">
      <c r="A332" s="38">
        <v>43891</v>
      </c>
      <c r="B332" s="40">
        <v>0.5</v>
      </c>
      <c r="C332" s="60">
        <v>1.85</v>
      </c>
      <c r="D332" s="60">
        <v>1.07</v>
      </c>
      <c r="E332" s="60">
        <v>12.349218288455836</v>
      </c>
      <c r="F332" s="43">
        <v>4.8066875203913355</v>
      </c>
      <c r="G332" s="9">
        <v>4</v>
      </c>
      <c r="H332" s="9">
        <v>6</v>
      </c>
      <c r="I332" s="9"/>
      <c r="J332" s="9"/>
      <c r="K332" s="9"/>
      <c r="L332" s="9"/>
    </row>
    <row r="333" spans="1:12" ht="12.75" x14ac:dyDescent="0.2">
      <c r="A333" s="38">
        <v>43922</v>
      </c>
      <c r="B333" s="40">
        <v>0.5</v>
      </c>
      <c r="C333" s="60">
        <v>1.08</v>
      </c>
      <c r="D333" s="60">
        <v>1.04</v>
      </c>
      <c r="E333" s="60">
        <v>12.171414116208696</v>
      </c>
      <c r="F333" s="43">
        <v>5.4835684974430876</v>
      </c>
      <c r="G333" s="9">
        <v>4</v>
      </c>
      <c r="H333" s="9">
        <v>6</v>
      </c>
      <c r="I333" s="9"/>
      <c r="J333" s="9"/>
      <c r="K333" s="9"/>
      <c r="L333" s="9"/>
    </row>
    <row r="334" spans="1:12" ht="12.75" x14ac:dyDescent="0.2">
      <c r="A334" s="38">
        <v>43952</v>
      </c>
      <c r="B334" s="40">
        <v>0.5</v>
      </c>
      <c r="C334" s="60">
        <v>1.78</v>
      </c>
      <c r="D334" s="60">
        <v>1.05</v>
      </c>
      <c r="E334" s="60">
        <v>12.115198412996651</v>
      </c>
      <c r="F334" s="43">
        <v>4.7410708803103887</v>
      </c>
      <c r="G334" s="9">
        <v>4</v>
      </c>
      <c r="H334" s="9">
        <v>6</v>
      </c>
      <c r="I334" s="9"/>
      <c r="J334" s="9"/>
      <c r="K334" s="9"/>
      <c r="L334" s="9"/>
    </row>
    <row r="335" spans="1:12" ht="12.75" x14ac:dyDescent="0.2">
      <c r="A335" s="38">
        <v>43983</v>
      </c>
      <c r="B335" s="40">
        <v>0.5</v>
      </c>
      <c r="C335" s="60">
        <v>1.28</v>
      </c>
      <c r="D335" s="60">
        <v>1.06</v>
      </c>
      <c r="E335" s="60">
        <v>12.05270777696246</v>
      </c>
      <c r="F335" s="48">
        <v>6.3104731094523601</v>
      </c>
      <c r="G335" s="9">
        <v>4</v>
      </c>
      <c r="H335" s="9">
        <v>6</v>
      </c>
      <c r="I335" s="9"/>
      <c r="J335" s="9"/>
      <c r="K335" s="9"/>
      <c r="L335" s="9"/>
    </row>
    <row r="336" spans="1:12" ht="12.75" x14ac:dyDescent="0.2">
      <c r="A336" s="38">
        <v>44013</v>
      </c>
      <c r="B336" s="40">
        <v>0.5</v>
      </c>
      <c r="C336" s="60">
        <v>1.1000000000000001</v>
      </c>
      <c r="D336" s="60">
        <v>1.05</v>
      </c>
      <c r="E336" s="60">
        <v>12.001103375019909</v>
      </c>
      <c r="F336" s="43">
        <v>5.7039096757925307</v>
      </c>
      <c r="G336" s="9">
        <v>4</v>
      </c>
      <c r="H336" s="9">
        <v>6</v>
      </c>
      <c r="I336" s="9"/>
      <c r="J336" s="9"/>
      <c r="K336" s="9"/>
      <c r="L336" s="9"/>
    </row>
    <row r="337" spans="1:12" ht="12.75" x14ac:dyDescent="0.2">
      <c r="A337" s="38">
        <v>44044</v>
      </c>
      <c r="B337" s="40">
        <v>0.5</v>
      </c>
      <c r="C337" s="60">
        <v>1.1299999999999999</v>
      </c>
      <c r="D337" s="60">
        <v>1.04</v>
      </c>
      <c r="E337" s="60">
        <v>11.950128562608654</v>
      </c>
      <c r="F337" s="43">
        <v>5.1280379602381458</v>
      </c>
      <c r="G337" s="9">
        <v>4</v>
      </c>
      <c r="H337" s="9">
        <v>6</v>
      </c>
      <c r="I337" s="9"/>
      <c r="J337" s="9"/>
      <c r="K337" s="9"/>
      <c r="L337" s="9"/>
    </row>
    <row r="338" spans="1:12" ht="12.75" x14ac:dyDescent="0.2">
      <c r="A338" s="38">
        <v>44075</v>
      </c>
      <c r="B338" s="40">
        <v>0.5</v>
      </c>
      <c r="C338" s="60">
        <v>1.1399999999999999</v>
      </c>
      <c r="D338" s="60">
        <v>1.03</v>
      </c>
      <c r="E338" s="60">
        <v>11.90582930073267</v>
      </c>
      <c r="F338" s="43">
        <v>4.8833772526086534</v>
      </c>
      <c r="G338" s="9">
        <v>4</v>
      </c>
      <c r="H338" s="9">
        <v>6</v>
      </c>
      <c r="I338" s="9"/>
      <c r="J338" s="9"/>
      <c r="K338" s="9"/>
      <c r="L338" s="9"/>
    </row>
    <row r="339" spans="1:12" ht="12.75" x14ac:dyDescent="0.2">
      <c r="A339" s="38">
        <v>44105</v>
      </c>
      <c r="B339" s="40">
        <v>0.5</v>
      </c>
      <c r="C339" s="60">
        <v>0.98</v>
      </c>
      <c r="D339" s="60">
        <v>1.08</v>
      </c>
      <c r="E339" s="60">
        <v>11.838765172486616</v>
      </c>
      <c r="F339" s="43">
        <v>5.041650730834732</v>
      </c>
      <c r="G339" s="9">
        <v>4</v>
      </c>
      <c r="H339" s="9">
        <v>6</v>
      </c>
      <c r="I339" s="9"/>
      <c r="J339" s="9"/>
      <c r="K339" s="9"/>
      <c r="L339" s="9"/>
    </row>
    <row r="340" spans="1:12" ht="12.75" x14ac:dyDescent="0.2">
      <c r="A340" s="38">
        <v>44136</v>
      </c>
      <c r="B340" s="40">
        <v>0.5</v>
      </c>
      <c r="C340" s="60">
        <v>0.78</v>
      </c>
      <c r="D340" s="60">
        <v>1.1000000000000001</v>
      </c>
      <c r="E340" s="60">
        <v>11.838408681022388</v>
      </c>
      <c r="F340" s="43">
        <v>4.3291234698862695</v>
      </c>
      <c r="G340" s="9">
        <v>4</v>
      </c>
      <c r="H340" s="9">
        <v>6</v>
      </c>
      <c r="I340" s="9"/>
      <c r="J340" s="9"/>
      <c r="K340" s="9"/>
      <c r="L340" s="9"/>
    </row>
    <row r="341" spans="1:12" ht="12.75" x14ac:dyDescent="0.2">
      <c r="A341" s="38">
        <v>44166</v>
      </c>
      <c r="B341" s="40">
        <v>0.5</v>
      </c>
      <c r="C341" s="60">
        <v>0.77</v>
      </c>
      <c r="D341" s="60">
        <v>1.0900000000000001</v>
      </c>
      <c r="E341" s="60">
        <v>11.798456447362073</v>
      </c>
      <c r="F341" s="43">
        <v>5.1912782412596243</v>
      </c>
      <c r="G341" s="9">
        <v>4</v>
      </c>
      <c r="H341" s="9">
        <v>6</v>
      </c>
      <c r="I341" s="9"/>
      <c r="J341" s="9"/>
      <c r="K341" s="9"/>
      <c r="L341" s="9"/>
    </row>
    <row r="342" spans="1:12" ht="12.75" x14ac:dyDescent="0.2">
      <c r="A342" s="38">
        <v>44197</v>
      </c>
      <c r="B342" s="40">
        <v>0.5</v>
      </c>
      <c r="C342" s="60">
        <v>0.74</v>
      </c>
      <c r="D342" s="60">
        <v>1.08</v>
      </c>
      <c r="E342" s="60">
        <v>11.757135730811532</v>
      </c>
      <c r="F342" s="43">
        <v>4.6808066044220311</v>
      </c>
      <c r="G342" s="9">
        <v>4</v>
      </c>
      <c r="H342" s="9">
        <v>6</v>
      </c>
      <c r="I342" s="9"/>
      <c r="J342" s="9"/>
      <c r="K342" s="9"/>
      <c r="L342" s="9"/>
    </row>
    <row r="343" spans="1:12" ht="12.75" x14ac:dyDescent="0.2">
      <c r="A343" s="38">
        <v>44228</v>
      </c>
      <c r="B343" s="40">
        <v>0.5</v>
      </c>
      <c r="C343" s="60">
        <v>1.53</v>
      </c>
      <c r="D343" s="60">
        <v>1.04</v>
      </c>
      <c r="E343" s="60">
        <v>11.745728485783216</v>
      </c>
      <c r="F343" s="43">
        <v>3.8071059180686717</v>
      </c>
      <c r="G343" s="9">
        <v>4</v>
      </c>
      <c r="H343" s="9">
        <v>6</v>
      </c>
      <c r="I343" s="9"/>
      <c r="J343" s="9"/>
      <c r="K343" s="9"/>
      <c r="L343" s="9"/>
    </row>
    <row r="344" spans="1:12" ht="12.75" x14ac:dyDescent="0.2">
      <c r="A344" s="38">
        <v>44256</v>
      </c>
      <c r="B344" s="40">
        <v>0.5</v>
      </c>
      <c r="C344" s="60">
        <v>1.23</v>
      </c>
      <c r="D344" s="60">
        <v>1.04</v>
      </c>
      <c r="E344" s="60">
        <v>11.609249329867547</v>
      </c>
      <c r="F344" s="43">
        <v>5.1751590732589392</v>
      </c>
      <c r="G344" s="9">
        <v>4</v>
      </c>
      <c r="H344" s="9">
        <v>6</v>
      </c>
      <c r="I344" s="9"/>
      <c r="J344" s="9"/>
      <c r="K344" s="9"/>
      <c r="L344" s="9"/>
    </row>
    <row r="345" spans="1:12" ht="12.75" x14ac:dyDescent="0.2">
      <c r="A345" s="38">
        <v>44287</v>
      </c>
      <c r="B345" s="40">
        <v>0.5</v>
      </c>
      <c r="C345" s="60">
        <v>1.94</v>
      </c>
      <c r="D345" s="60">
        <v>1.01</v>
      </c>
      <c r="E345" s="60">
        <v>11.651474111321511</v>
      </c>
      <c r="F345" s="43">
        <v>3.8489931285532908</v>
      </c>
      <c r="G345" s="9">
        <v>4</v>
      </c>
      <c r="H345" s="9">
        <v>6</v>
      </c>
      <c r="I345" s="9"/>
      <c r="J345" s="9"/>
      <c r="K345" s="9"/>
      <c r="L345" s="9"/>
    </row>
    <row r="346" spans="1:12" ht="12.75" x14ac:dyDescent="0.2">
      <c r="A346" s="38">
        <v>44334</v>
      </c>
      <c r="B346" s="40">
        <v>0.5</v>
      </c>
      <c r="C346" s="60">
        <v>0.94</v>
      </c>
      <c r="D346" s="60">
        <v>1.02</v>
      </c>
      <c r="E346" s="60">
        <v>11.159100650373325</v>
      </c>
      <c r="F346" s="43">
        <v>5.0306752852049819</v>
      </c>
      <c r="G346" s="9">
        <v>4</v>
      </c>
      <c r="H346" s="9">
        <v>6</v>
      </c>
      <c r="I346" s="9"/>
      <c r="J346" s="9"/>
      <c r="K346" s="9"/>
      <c r="L346" s="9"/>
    </row>
    <row r="347" spans="1:12" x14ac:dyDescent="0.25">
      <c r="A347" s="38">
        <v>44377</v>
      </c>
      <c r="B347" s="40">
        <v>0.5</v>
      </c>
      <c r="C347" s="60">
        <v>1.05</v>
      </c>
      <c r="D347" s="60">
        <v>1.01</v>
      </c>
      <c r="E347" s="60">
        <v>11.579139849481574</v>
      </c>
      <c r="F347" s="45">
        <v>4.3354757521376648</v>
      </c>
      <c r="G347" s="9">
        <v>4</v>
      </c>
      <c r="H347" s="9">
        <v>6</v>
      </c>
      <c r="K347"/>
    </row>
    <row r="348" spans="1:12" x14ac:dyDescent="0.25">
      <c r="A348" s="38">
        <v>44408</v>
      </c>
      <c r="B348" s="40">
        <v>0.5</v>
      </c>
      <c r="C348" s="60">
        <v>0.94</v>
      </c>
      <c r="D348" s="60">
        <v>1.01</v>
      </c>
      <c r="E348" s="60"/>
      <c r="F348" s="45">
        <v>5.3456332134085898</v>
      </c>
      <c r="G348" s="9">
        <v>4</v>
      </c>
      <c r="H348" s="9">
        <v>6</v>
      </c>
    </row>
    <row r="349" spans="1:12" x14ac:dyDescent="0.25">
      <c r="A349" s="46"/>
      <c r="B349" s="47"/>
      <c r="C349" s="60">
        <v>0.88</v>
      </c>
      <c r="D349" s="60"/>
      <c r="E349" s="60"/>
    </row>
  </sheetData>
  <conditionalFormatting sqref="A4:A330 A341:A342 A332:A333 A335:A336 A338:A339 A344">
    <cfRule type="duplicateValues" dxfId="8" priority="9"/>
  </conditionalFormatting>
  <conditionalFormatting sqref="A340">
    <cfRule type="duplicateValues" dxfId="7" priority="8"/>
  </conditionalFormatting>
  <conditionalFormatting sqref="A343 A345">
    <cfRule type="duplicateValues" dxfId="6" priority="7"/>
  </conditionalFormatting>
  <conditionalFormatting sqref="A331">
    <cfRule type="duplicateValues" dxfId="5" priority="6"/>
  </conditionalFormatting>
  <conditionalFormatting sqref="A334">
    <cfRule type="duplicateValues" dxfId="4" priority="5"/>
  </conditionalFormatting>
  <conditionalFormatting sqref="A337">
    <cfRule type="duplicateValues" dxfId="3" priority="4"/>
  </conditionalFormatting>
  <conditionalFormatting sqref="A346">
    <cfRule type="duplicateValues" dxfId="2" priority="3"/>
  </conditionalFormatting>
  <conditionalFormatting sqref="A347 A349">
    <cfRule type="duplicateValues" dxfId="1" priority="2"/>
  </conditionalFormatting>
  <conditionalFormatting sqref="A348">
    <cfRule type="duplicateValues" dxfId="0" priority="1"/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485F-365D-4481-94E7-EA5D797A7E26}">
  <dimension ref="A1"/>
  <sheetViews>
    <sheetView topLeftCell="A17" workbookViewId="0">
      <selection activeCell="R29" sqref="R29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BB729-2857-43FA-8C7B-59E3DD66172F}">
  <dimension ref="A2:LJ12"/>
  <sheetViews>
    <sheetView topLeftCell="KK1" workbookViewId="0">
      <selection activeCell="KZ25" sqref="KZ25"/>
    </sheetView>
  </sheetViews>
  <sheetFormatPr defaultRowHeight="12.75" x14ac:dyDescent="0.2"/>
  <cols>
    <col min="2" max="2" width="23.85546875" bestFit="1" customWidth="1"/>
    <col min="4" max="4" width="80.5703125" customWidth="1"/>
    <col min="7" max="7" width="15.42578125" customWidth="1"/>
  </cols>
  <sheetData>
    <row r="2" spans="1:322" s="51" customFormat="1" ht="12" x14ac:dyDescent="0.2">
      <c r="A2" s="49" t="s">
        <v>103</v>
      </c>
      <c r="B2" s="49" t="s">
        <v>104</v>
      </c>
      <c r="C2" s="49" t="s">
        <v>105</v>
      </c>
      <c r="D2" s="49" t="s">
        <v>106</v>
      </c>
      <c r="E2" s="49" t="s">
        <v>107</v>
      </c>
      <c r="F2" s="49" t="s">
        <v>108</v>
      </c>
      <c r="G2" s="49" t="s">
        <v>109</v>
      </c>
      <c r="H2" s="50" t="s">
        <v>110</v>
      </c>
      <c r="I2" s="50" t="s">
        <v>111</v>
      </c>
      <c r="J2" s="50" t="s">
        <v>112</v>
      </c>
      <c r="K2" s="50" t="s">
        <v>113</v>
      </c>
      <c r="L2" s="50" t="s">
        <v>114</v>
      </c>
      <c r="M2" s="50" t="s">
        <v>115</v>
      </c>
      <c r="N2" s="50" t="s">
        <v>116</v>
      </c>
      <c r="O2" s="50" t="s">
        <v>117</v>
      </c>
      <c r="P2" s="50" t="s">
        <v>118</v>
      </c>
      <c r="Q2" s="50" t="s">
        <v>119</v>
      </c>
      <c r="R2" s="50" t="s">
        <v>120</v>
      </c>
      <c r="S2" s="50" t="s">
        <v>121</v>
      </c>
      <c r="T2" s="50" t="s">
        <v>122</v>
      </c>
      <c r="U2" s="50" t="s">
        <v>123</v>
      </c>
      <c r="V2" s="50" t="s">
        <v>124</v>
      </c>
      <c r="W2" s="50" t="s">
        <v>125</v>
      </c>
      <c r="X2" s="50" t="s">
        <v>126</v>
      </c>
      <c r="Y2" s="50" t="s">
        <v>127</v>
      </c>
      <c r="Z2" s="50" t="s">
        <v>128</v>
      </c>
      <c r="AA2" s="50" t="s">
        <v>129</v>
      </c>
      <c r="AB2" s="50" t="s">
        <v>130</v>
      </c>
      <c r="AC2" s="50" t="s">
        <v>131</v>
      </c>
      <c r="AD2" s="50" t="s">
        <v>132</v>
      </c>
      <c r="AE2" s="50" t="s">
        <v>133</v>
      </c>
      <c r="AF2" s="50" t="s">
        <v>134</v>
      </c>
      <c r="AG2" s="50" t="s">
        <v>135</v>
      </c>
      <c r="AH2" s="50" t="s">
        <v>136</v>
      </c>
      <c r="AI2" s="50" t="s">
        <v>137</v>
      </c>
      <c r="AJ2" s="50" t="s">
        <v>138</v>
      </c>
      <c r="AK2" s="50" t="s">
        <v>139</v>
      </c>
      <c r="AL2" s="50" t="s">
        <v>140</v>
      </c>
      <c r="AM2" s="50" t="s">
        <v>141</v>
      </c>
      <c r="AN2" s="50" t="s">
        <v>142</v>
      </c>
      <c r="AO2" s="50" t="s">
        <v>143</v>
      </c>
      <c r="AP2" s="50" t="s">
        <v>144</v>
      </c>
      <c r="AQ2" s="50" t="s">
        <v>145</v>
      </c>
      <c r="AR2" s="50" t="s">
        <v>146</v>
      </c>
      <c r="AS2" s="50" t="s">
        <v>147</v>
      </c>
      <c r="AT2" s="50" t="s">
        <v>148</v>
      </c>
      <c r="AU2" s="50" t="s">
        <v>149</v>
      </c>
      <c r="AV2" s="50" t="s">
        <v>150</v>
      </c>
      <c r="AW2" s="50" t="s">
        <v>151</v>
      </c>
      <c r="AX2" s="50" t="s">
        <v>152</v>
      </c>
      <c r="AY2" s="50" t="s">
        <v>153</v>
      </c>
      <c r="AZ2" s="50" t="s">
        <v>154</v>
      </c>
      <c r="BA2" s="50" t="s">
        <v>155</v>
      </c>
      <c r="BB2" s="50" t="s">
        <v>156</v>
      </c>
      <c r="BC2" s="50" t="s">
        <v>157</v>
      </c>
      <c r="BD2" s="50" t="s">
        <v>158</v>
      </c>
      <c r="BE2" s="50" t="s">
        <v>159</v>
      </c>
      <c r="BF2" s="50" t="s">
        <v>160</v>
      </c>
      <c r="BG2" s="50" t="s">
        <v>161</v>
      </c>
      <c r="BH2" s="50" t="s">
        <v>162</v>
      </c>
      <c r="BI2" s="50" t="s">
        <v>163</v>
      </c>
      <c r="BJ2" s="50" t="s">
        <v>164</v>
      </c>
      <c r="BK2" s="50" t="s">
        <v>165</v>
      </c>
      <c r="BL2" s="50" t="s">
        <v>166</v>
      </c>
      <c r="BM2" s="50" t="s">
        <v>167</v>
      </c>
      <c r="BN2" s="50" t="s">
        <v>168</v>
      </c>
      <c r="BO2" s="50" t="s">
        <v>169</v>
      </c>
      <c r="BP2" s="50" t="s">
        <v>170</v>
      </c>
      <c r="BQ2" s="50" t="s">
        <v>171</v>
      </c>
      <c r="BR2" s="50" t="s">
        <v>172</v>
      </c>
      <c r="BS2" s="50" t="s">
        <v>173</v>
      </c>
      <c r="BT2" s="50" t="s">
        <v>174</v>
      </c>
      <c r="BU2" s="50" t="s">
        <v>175</v>
      </c>
      <c r="BV2" s="50" t="s">
        <v>176</v>
      </c>
      <c r="BW2" s="50" t="s">
        <v>177</v>
      </c>
      <c r="BX2" s="50" t="s">
        <v>178</v>
      </c>
      <c r="BY2" s="50" t="s">
        <v>179</v>
      </c>
      <c r="BZ2" s="50" t="s">
        <v>180</v>
      </c>
      <c r="CA2" s="50" t="s">
        <v>181</v>
      </c>
      <c r="CB2" s="50" t="s">
        <v>182</v>
      </c>
      <c r="CC2" s="50" t="s">
        <v>183</v>
      </c>
      <c r="CD2" s="50" t="s">
        <v>184</v>
      </c>
      <c r="CE2" s="50" t="s">
        <v>185</v>
      </c>
      <c r="CF2" s="50" t="s">
        <v>186</v>
      </c>
      <c r="CG2" s="50" t="s">
        <v>187</v>
      </c>
      <c r="CH2" s="50" t="s">
        <v>188</v>
      </c>
      <c r="CI2" s="50" t="s">
        <v>189</v>
      </c>
      <c r="CJ2" s="50" t="s">
        <v>190</v>
      </c>
      <c r="CK2" s="50" t="s">
        <v>191</v>
      </c>
      <c r="CL2" s="50" t="s">
        <v>192</v>
      </c>
      <c r="CM2" s="50" t="s">
        <v>193</v>
      </c>
      <c r="CN2" s="50" t="s">
        <v>194</v>
      </c>
      <c r="CO2" s="50" t="s">
        <v>195</v>
      </c>
      <c r="CP2" s="50" t="s">
        <v>196</v>
      </c>
      <c r="CQ2" s="50" t="s">
        <v>197</v>
      </c>
      <c r="CR2" s="50" t="s">
        <v>198</v>
      </c>
      <c r="CS2" s="50" t="s">
        <v>199</v>
      </c>
      <c r="CT2" s="50" t="s">
        <v>200</v>
      </c>
      <c r="CU2" s="50" t="s">
        <v>201</v>
      </c>
      <c r="CV2" s="50" t="s">
        <v>202</v>
      </c>
      <c r="CW2" s="50" t="s">
        <v>203</v>
      </c>
      <c r="CX2" s="50" t="s">
        <v>204</v>
      </c>
      <c r="CY2" s="50" t="s">
        <v>205</v>
      </c>
      <c r="CZ2" s="50" t="s">
        <v>206</v>
      </c>
      <c r="DA2" s="50" t="s">
        <v>207</v>
      </c>
      <c r="DB2" s="50" t="s">
        <v>208</v>
      </c>
      <c r="DC2" s="50" t="s">
        <v>209</v>
      </c>
      <c r="DD2" s="50" t="s">
        <v>210</v>
      </c>
      <c r="DE2" s="50" t="s">
        <v>211</v>
      </c>
      <c r="DF2" s="50" t="s">
        <v>212</v>
      </c>
      <c r="DG2" s="50" t="s">
        <v>213</v>
      </c>
      <c r="DH2" s="50" t="s">
        <v>214</v>
      </c>
      <c r="DI2" s="50" t="s">
        <v>215</v>
      </c>
      <c r="DJ2" s="50" t="s">
        <v>216</v>
      </c>
      <c r="DK2" s="50" t="s">
        <v>217</v>
      </c>
      <c r="DL2" s="50" t="s">
        <v>218</v>
      </c>
      <c r="DM2" s="50" t="s">
        <v>219</v>
      </c>
      <c r="DN2" s="50" t="s">
        <v>220</v>
      </c>
      <c r="DO2" s="50" t="s">
        <v>221</v>
      </c>
      <c r="DP2" s="50" t="s">
        <v>222</v>
      </c>
      <c r="DQ2" s="50" t="s">
        <v>223</v>
      </c>
      <c r="DR2" s="50" t="s">
        <v>224</v>
      </c>
      <c r="DS2" s="50" t="s">
        <v>225</v>
      </c>
      <c r="DT2" s="50" t="s">
        <v>226</v>
      </c>
      <c r="DU2" s="50" t="s">
        <v>227</v>
      </c>
      <c r="DV2" s="50" t="s">
        <v>228</v>
      </c>
      <c r="DW2" s="50" t="s">
        <v>229</v>
      </c>
      <c r="DX2" s="50" t="s">
        <v>230</v>
      </c>
      <c r="DY2" s="50" t="s">
        <v>231</v>
      </c>
      <c r="DZ2" s="50" t="s">
        <v>232</v>
      </c>
      <c r="EA2" s="50" t="s">
        <v>233</v>
      </c>
      <c r="EB2" s="50" t="s">
        <v>234</v>
      </c>
      <c r="EC2" s="50" t="s">
        <v>235</v>
      </c>
      <c r="ED2" s="50" t="s">
        <v>236</v>
      </c>
      <c r="EE2" s="50" t="s">
        <v>237</v>
      </c>
      <c r="EF2" s="50" t="s">
        <v>238</v>
      </c>
      <c r="EG2" s="50" t="s">
        <v>239</v>
      </c>
      <c r="EH2" s="50" t="s">
        <v>240</v>
      </c>
      <c r="EI2" s="50" t="s">
        <v>241</v>
      </c>
      <c r="EJ2" s="50" t="s">
        <v>242</v>
      </c>
      <c r="EK2" s="50" t="s">
        <v>243</v>
      </c>
      <c r="EL2" s="50" t="s">
        <v>244</v>
      </c>
      <c r="EM2" s="50" t="s">
        <v>245</v>
      </c>
      <c r="EN2" s="50" t="s">
        <v>246</v>
      </c>
      <c r="EO2" s="50" t="s">
        <v>247</v>
      </c>
      <c r="EP2" s="50" t="s">
        <v>248</v>
      </c>
      <c r="EQ2" s="50" t="s">
        <v>249</v>
      </c>
      <c r="ER2" s="50" t="s">
        <v>250</v>
      </c>
      <c r="ES2" s="50" t="s">
        <v>251</v>
      </c>
      <c r="ET2" s="50" t="s">
        <v>252</v>
      </c>
      <c r="EU2" s="50" t="s">
        <v>253</v>
      </c>
      <c r="EV2" s="50" t="s">
        <v>254</v>
      </c>
      <c r="EW2" s="50" t="s">
        <v>255</v>
      </c>
      <c r="EX2" s="50" t="s">
        <v>256</v>
      </c>
      <c r="EY2" s="50" t="s">
        <v>257</v>
      </c>
      <c r="EZ2" s="50" t="s">
        <v>258</v>
      </c>
      <c r="FA2" s="50" t="s">
        <v>259</v>
      </c>
      <c r="FB2" s="50" t="s">
        <v>260</v>
      </c>
      <c r="FC2" s="50" t="s">
        <v>261</v>
      </c>
      <c r="FD2" s="50" t="s">
        <v>262</v>
      </c>
      <c r="FE2" s="50" t="s">
        <v>263</v>
      </c>
      <c r="FF2" s="50" t="s">
        <v>264</v>
      </c>
      <c r="FG2" s="50" t="s">
        <v>265</v>
      </c>
      <c r="FH2" s="50" t="s">
        <v>266</v>
      </c>
      <c r="FI2" s="50" t="s">
        <v>267</v>
      </c>
      <c r="FJ2" s="50" t="s">
        <v>268</v>
      </c>
      <c r="FK2" s="50" t="s">
        <v>269</v>
      </c>
      <c r="FL2" s="50" t="s">
        <v>270</v>
      </c>
      <c r="FM2" s="50" t="s">
        <v>271</v>
      </c>
      <c r="FN2" s="50" t="s">
        <v>272</v>
      </c>
      <c r="FO2" s="50" t="s">
        <v>273</v>
      </c>
      <c r="FP2" s="50" t="s">
        <v>274</v>
      </c>
      <c r="FQ2" s="50" t="s">
        <v>275</v>
      </c>
      <c r="FR2" s="50" t="s">
        <v>276</v>
      </c>
      <c r="FS2" s="50" t="s">
        <v>277</v>
      </c>
      <c r="FT2" s="50" t="s">
        <v>278</v>
      </c>
      <c r="FU2" s="50" t="s">
        <v>279</v>
      </c>
      <c r="FV2" s="50" t="s">
        <v>280</v>
      </c>
      <c r="FW2" s="50" t="s">
        <v>281</v>
      </c>
      <c r="FX2" s="50" t="s">
        <v>282</v>
      </c>
      <c r="FY2" s="50" t="s">
        <v>283</v>
      </c>
      <c r="FZ2" s="50" t="s">
        <v>284</v>
      </c>
      <c r="GA2" s="50" t="s">
        <v>285</v>
      </c>
      <c r="GB2" s="50" t="s">
        <v>286</v>
      </c>
      <c r="GC2" s="50" t="s">
        <v>287</v>
      </c>
      <c r="GD2" s="50" t="s">
        <v>288</v>
      </c>
      <c r="GE2" s="50" t="s">
        <v>289</v>
      </c>
      <c r="GF2" s="50" t="s">
        <v>290</v>
      </c>
      <c r="GG2" s="50" t="s">
        <v>291</v>
      </c>
      <c r="GH2" s="50" t="s">
        <v>292</v>
      </c>
      <c r="GI2" s="50" t="s">
        <v>293</v>
      </c>
      <c r="GJ2" s="50" t="s">
        <v>294</v>
      </c>
      <c r="GK2" s="50" t="s">
        <v>295</v>
      </c>
      <c r="GL2" s="50" t="s">
        <v>296</v>
      </c>
      <c r="GM2" s="50" t="s">
        <v>297</v>
      </c>
      <c r="GN2" s="50" t="s">
        <v>298</v>
      </c>
      <c r="GO2" s="50" t="s">
        <v>299</v>
      </c>
      <c r="GP2" s="50" t="s">
        <v>300</v>
      </c>
      <c r="GQ2" s="50" t="s">
        <v>301</v>
      </c>
      <c r="GR2" s="50" t="s">
        <v>302</v>
      </c>
      <c r="GS2" s="50" t="s">
        <v>303</v>
      </c>
      <c r="GT2" s="50" t="s">
        <v>304</v>
      </c>
      <c r="GU2" s="50" t="s">
        <v>305</v>
      </c>
      <c r="GV2" s="50" t="s">
        <v>306</v>
      </c>
      <c r="GW2" s="50" t="s">
        <v>307</v>
      </c>
      <c r="GX2" s="50" t="s">
        <v>308</v>
      </c>
      <c r="GY2" s="50" t="s">
        <v>309</v>
      </c>
      <c r="GZ2" s="50" t="s">
        <v>310</v>
      </c>
      <c r="HA2" s="50" t="s">
        <v>311</v>
      </c>
      <c r="HB2" s="50" t="s">
        <v>312</v>
      </c>
      <c r="HC2" s="50" t="s">
        <v>313</v>
      </c>
      <c r="HD2" s="50" t="s">
        <v>314</v>
      </c>
      <c r="HE2" s="50" t="s">
        <v>315</v>
      </c>
      <c r="HF2" s="50" t="s">
        <v>316</v>
      </c>
      <c r="HG2" s="50" t="s">
        <v>317</v>
      </c>
      <c r="HH2" s="50" t="s">
        <v>318</v>
      </c>
      <c r="HI2" s="50" t="s">
        <v>319</v>
      </c>
      <c r="HJ2" s="50" t="s">
        <v>320</v>
      </c>
      <c r="HK2" s="50" t="s">
        <v>321</v>
      </c>
      <c r="HL2" s="50" t="s">
        <v>322</v>
      </c>
      <c r="HM2" s="50" t="s">
        <v>323</v>
      </c>
      <c r="HN2" s="50" t="s">
        <v>324</v>
      </c>
      <c r="HO2" s="50" t="s">
        <v>325</v>
      </c>
      <c r="HP2" s="50" t="s">
        <v>326</v>
      </c>
      <c r="HQ2" s="50" t="s">
        <v>327</v>
      </c>
      <c r="HR2" s="50" t="s">
        <v>328</v>
      </c>
      <c r="HS2" s="50" t="s">
        <v>329</v>
      </c>
      <c r="HT2" s="50" t="s">
        <v>330</v>
      </c>
      <c r="HU2" s="50" t="s">
        <v>331</v>
      </c>
      <c r="HV2" s="50" t="s">
        <v>332</v>
      </c>
      <c r="HW2" s="50" t="s">
        <v>333</v>
      </c>
      <c r="HX2" s="50" t="s">
        <v>334</v>
      </c>
      <c r="HY2" s="50" t="s">
        <v>335</v>
      </c>
      <c r="HZ2" s="50" t="s">
        <v>336</v>
      </c>
      <c r="IA2" s="50" t="s">
        <v>337</v>
      </c>
      <c r="IB2" s="50" t="s">
        <v>338</v>
      </c>
      <c r="IC2" s="50" t="s">
        <v>339</v>
      </c>
      <c r="ID2" s="50" t="s">
        <v>340</v>
      </c>
      <c r="IE2" s="50" t="s">
        <v>341</v>
      </c>
      <c r="IF2" s="50" t="s">
        <v>342</v>
      </c>
      <c r="IG2" s="50" t="s">
        <v>343</v>
      </c>
      <c r="IH2" s="50" t="s">
        <v>344</v>
      </c>
      <c r="II2" s="50" t="s">
        <v>345</v>
      </c>
      <c r="IJ2" s="50" t="s">
        <v>346</v>
      </c>
      <c r="IK2" s="50" t="s">
        <v>347</v>
      </c>
      <c r="IL2" s="50" t="s">
        <v>348</v>
      </c>
      <c r="IM2" s="50" t="s">
        <v>349</v>
      </c>
      <c r="IN2" s="50" t="s">
        <v>350</v>
      </c>
      <c r="IO2" s="50" t="s">
        <v>351</v>
      </c>
      <c r="IP2" s="50" t="s">
        <v>352</v>
      </c>
      <c r="IQ2" s="51" t="s">
        <v>353</v>
      </c>
      <c r="IR2" s="51" t="s">
        <v>354</v>
      </c>
      <c r="IS2" s="51" t="s">
        <v>355</v>
      </c>
      <c r="IT2" s="51" t="s">
        <v>356</v>
      </c>
      <c r="IU2" s="51" t="s">
        <v>357</v>
      </c>
      <c r="IV2" s="51" t="s">
        <v>358</v>
      </c>
      <c r="IW2" s="51" t="s">
        <v>359</v>
      </c>
      <c r="IX2" s="51" t="s">
        <v>360</v>
      </c>
      <c r="IY2" s="51" t="s">
        <v>361</v>
      </c>
      <c r="IZ2" s="51" t="s">
        <v>362</v>
      </c>
      <c r="JA2" s="51" t="s">
        <v>363</v>
      </c>
      <c r="JB2" s="51" t="s">
        <v>364</v>
      </c>
      <c r="JC2" s="51" t="s">
        <v>365</v>
      </c>
      <c r="JD2" s="51" t="s">
        <v>366</v>
      </c>
      <c r="JE2" s="51" t="s">
        <v>367</v>
      </c>
      <c r="JF2" s="51" t="s">
        <v>368</v>
      </c>
      <c r="JG2" s="51" t="s">
        <v>369</v>
      </c>
      <c r="JH2" s="51" t="s">
        <v>370</v>
      </c>
      <c r="JI2" s="51" t="s">
        <v>371</v>
      </c>
      <c r="JJ2" s="51" t="s">
        <v>372</v>
      </c>
      <c r="JK2" s="51" t="s">
        <v>373</v>
      </c>
      <c r="JL2" s="51" t="s">
        <v>374</v>
      </c>
      <c r="JM2" s="51" t="s">
        <v>375</v>
      </c>
      <c r="JN2" s="51" t="s">
        <v>376</v>
      </c>
      <c r="JO2" s="51" t="s">
        <v>377</v>
      </c>
      <c r="JP2" s="51" t="s">
        <v>378</v>
      </c>
      <c r="JQ2" s="51" t="s">
        <v>379</v>
      </c>
      <c r="JR2" s="51" t="s">
        <v>380</v>
      </c>
      <c r="JS2" s="51" t="s">
        <v>381</v>
      </c>
      <c r="JT2" s="51" t="s">
        <v>382</v>
      </c>
      <c r="JU2" s="51" t="s">
        <v>383</v>
      </c>
      <c r="JV2" s="51" t="s">
        <v>384</v>
      </c>
      <c r="JW2" s="51" t="s">
        <v>385</v>
      </c>
      <c r="JX2" s="51" t="s">
        <v>386</v>
      </c>
      <c r="JY2" s="51" t="s">
        <v>387</v>
      </c>
      <c r="JZ2" s="51" t="s">
        <v>388</v>
      </c>
      <c r="KA2" s="51" t="s">
        <v>389</v>
      </c>
      <c r="KB2" s="51" t="s">
        <v>390</v>
      </c>
      <c r="KC2" s="51" t="s">
        <v>391</v>
      </c>
      <c r="KD2" s="51" t="s">
        <v>392</v>
      </c>
      <c r="KE2" s="51" t="s">
        <v>393</v>
      </c>
      <c r="KF2" s="51" t="s">
        <v>394</v>
      </c>
      <c r="KG2" s="51" t="s">
        <v>395</v>
      </c>
      <c r="KH2" s="51" t="s">
        <v>396</v>
      </c>
      <c r="KI2" s="51" t="s">
        <v>397</v>
      </c>
      <c r="KJ2" s="51" t="s">
        <v>398</v>
      </c>
      <c r="KK2" s="51" t="s">
        <v>399</v>
      </c>
      <c r="KL2" s="51" t="s">
        <v>400</v>
      </c>
      <c r="KM2" s="51" t="s">
        <v>401</v>
      </c>
      <c r="KN2" s="51" t="s">
        <v>402</v>
      </c>
      <c r="KO2" s="51" t="s">
        <v>403</v>
      </c>
      <c r="KP2" s="51" t="s">
        <v>404</v>
      </c>
      <c r="KQ2" s="51" t="s">
        <v>405</v>
      </c>
      <c r="KR2" s="51" t="s">
        <v>406</v>
      </c>
      <c r="KS2" s="51" t="s">
        <v>407</v>
      </c>
      <c r="KT2" s="51" t="s">
        <v>408</v>
      </c>
      <c r="KU2" s="51" t="s">
        <v>409</v>
      </c>
      <c r="KV2" s="51" t="s">
        <v>410</v>
      </c>
      <c r="KW2" s="51" t="s">
        <v>411</v>
      </c>
      <c r="KX2" s="51" t="s">
        <v>412</v>
      </c>
      <c r="KY2" s="51" t="s">
        <v>413</v>
      </c>
      <c r="KZ2" s="51" t="s">
        <v>414</v>
      </c>
      <c r="LA2" s="51" t="s">
        <v>415</v>
      </c>
      <c r="LB2" s="51" t="s">
        <v>416</v>
      </c>
      <c r="LC2" s="51" t="s">
        <v>417</v>
      </c>
      <c r="LD2" s="51" t="s">
        <v>418</v>
      </c>
      <c r="LE2" s="51" t="s">
        <v>419</v>
      </c>
      <c r="LF2" s="51" t="s">
        <v>420</v>
      </c>
      <c r="LG2" s="51" t="s">
        <v>421</v>
      </c>
      <c r="LH2" s="51" t="s">
        <v>422</v>
      </c>
      <c r="LI2" s="51" t="s">
        <v>423</v>
      </c>
      <c r="LJ2" s="51" t="s">
        <v>424</v>
      </c>
    </row>
    <row r="3" spans="1:322" s="53" customFormat="1" ht="12" x14ac:dyDescent="0.2">
      <c r="A3" s="52" t="s">
        <v>425</v>
      </c>
      <c r="B3" s="52" t="s">
        <v>426</v>
      </c>
      <c r="C3" s="52" t="s">
        <v>15</v>
      </c>
      <c r="D3" s="52" t="s">
        <v>427</v>
      </c>
      <c r="E3" s="52" t="s">
        <v>75</v>
      </c>
      <c r="F3" s="52" t="s">
        <v>428</v>
      </c>
      <c r="G3" s="52" t="s">
        <v>428</v>
      </c>
      <c r="H3" s="53">
        <v>226.01117487943725</v>
      </c>
      <c r="I3" s="53">
        <v>217.22427034138047</v>
      </c>
      <c r="J3" s="53">
        <v>217.92664991105349</v>
      </c>
      <c r="K3" s="53">
        <v>218.85738278967679</v>
      </c>
      <c r="L3" s="53">
        <v>217.70294223881206</v>
      </c>
      <c r="M3" s="53">
        <v>218.35293230597208</v>
      </c>
      <c r="N3" s="53">
        <v>219.06967470883734</v>
      </c>
      <c r="O3" s="53">
        <v>223.33347755855306</v>
      </c>
      <c r="P3" s="53">
        <v>236.32797394092046</v>
      </c>
      <c r="Q3" s="53">
        <v>244.91825174498328</v>
      </c>
      <c r="R3" s="53">
        <v>247.45407220287717</v>
      </c>
      <c r="S3" s="53">
        <v>250.32931006415936</v>
      </c>
      <c r="T3" s="53">
        <v>250.48040493525582</v>
      </c>
      <c r="U3" s="53">
        <v>249.15965023391297</v>
      </c>
      <c r="V3" s="53">
        <v>250.78956107746228</v>
      </c>
      <c r="W3" s="53">
        <v>254.68873931262138</v>
      </c>
      <c r="X3" s="53">
        <v>256.55161145910068</v>
      </c>
      <c r="Y3" s="53">
        <v>256.66548521210217</v>
      </c>
      <c r="Z3" s="53">
        <v>256.38099012568171</v>
      </c>
      <c r="AA3" s="53">
        <v>254.35373661454875</v>
      </c>
      <c r="AB3" s="53">
        <v>253.84554555684446</v>
      </c>
      <c r="AC3" s="53">
        <v>254.52877810722461</v>
      </c>
      <c r="AD3" s="53">
        <v>256.19792081641032</v>
      </c>
      <c r="AE3" s="53">
        <v>253.42459984275422</v>
      </c>
      <c r="AF3" s="53">
        <v>251.11903053759863</v>
      </c>
      <c r="AG3" s="53">
        <v>251.0065848929394</v>
      </c>
      <c r="AH3" s="53">
        <v>252.98595875787916</v>
      </c>
      <c r="AI3" s="53">
        <v>254.01238267961648</v>
      </c>
      <c r="AJ3" s="53">
        <v>252.67302840088087</v>
      </c>
      <c r="AK3" s="53">
        <v>254.29353370007425</v>
      </c>
      <c r="AL3" s="53">
        <v>253.11253495213651</v>
      </c>
      <c r="AM3" s="53">
        <v>253.70178703973701</v>
      </c>
      <c r="AN3" s="53">
        <v>255.12277915720745</v>
      </c>
      <c r="AO3" s="53">
        <v>255.80415389048753</v>
      </c>
      <c r="AP3" s="53">
        <v>256.98039454042032</v>
      </c>
      <c r="AQ3" s="53">
        <v>252.62804757941723</v>
      </c>
      <c r="AR3" s="53">
        <v>247.08184554684647</v>
      </c>
      <c r="AS3" s="53">
        <v>246.07614512648811</v>
      </c>
      <c r="AT3" s="53">
        <v>244.95126244870681</v>
      </c>
      <c r="AU3" s="53">
        <v>244.78017478723788</v>
      </c>
      <c r="AV3" s="53">
        <v>246.01179479729507</v>
      </c>
      <c r="AW3" s="53">
        <v>244.77588257111219</v>
      </c>
      <c r="AX3" s="53">
        <v>244.21421515256534</v>
      </c>
      <c r="AY3" s="53">
        <v>242.10007433442394</v>
      </c>
      <c r="AZ3" s="53">
        <v>240.9186067908847</v>
      </c>
      <c r="BA3" s="53">
        <v>238.34556158323585</v>
      </c>
      <c r="BB3" s="53">
        <v>234.70934754343767</v>
      </c>
      <c r="BC3" s="53">
        <v>233.13254929829316</v>
      </c>
      <c r="BD3" s="53">
        <v>231.14077498119471</v>
      </c>
      <c r="BE3" s="53">
        <v>229.46316793313267</v>
      </c>
      <c r="BF3" s="53">
        <v>225.65805657683424</v>
      </c>
      <c r="BG3" s="53">
        <v>222.95752117120537</v>
      </c>
      <c r="BH3" s="53">
        <v>222.22667629466898</v>
      </c>
      <c r="BI3" s="53">
        <v>223.01981796188718</v>
      </c>
      <c r="BJ3" s="53">
        <v>223.9845873974169</v>
      </c>
      <c r="BK3" s="53">
        <v>226.09373792602275</v>
      </c>
      <c r="BL3" s="53">
        <v>223.49345497597392</v>
      </c>
      <c r="BM3" s="53">
        <v>222.82565640692468</v>
      </c>
      <c r="BN3" s="53">
        <v>222.61236277549878</v>
      </c>
      <c r="BO3" s="53">
        <v>219.46743497241062</v>
      </c>
      <c r="BP3" s="53">
        <v>216.533659037316</v>
      </c>
      <c r="BQ3" s="53">
        <v>215.6040140758071</v>
      </c>
      <c r="BR3" s="53">
        <v>212.19478484697643</v>
      </c>
      <c r="BS3" s="53">
        <v>210.48914137023519</v>
      </c>
      <c r="BT3" s="53">
        <v>210.93315810565286</v>
      </c>
      <c r="BU3" s="53">
        <v>212.90204557134308</v>
      </c>
      <c r="BV3" s="53">
        <v>214.19353202474434</v>
      </c>
      <c r="BW3" s="53">
        <v>214.04559080851348</v>
      </c>
      <c r="BX3" s="53">
        <v>214.97758524189788</v>
      </c>
      <c r="BY3" s="53">
        <v>215.12810934118417</v>
      </c>
      <c r="BZ3" s="53">
        <v>213.19871202847605</v>
      </c>
      <c r="CA3" s="53">
        <v>212.57186742752344</v>
      </c>
      <c r="CB3" s="53">
        <v>210.36226003920945</v>
      </c>
      <c r="CC3" s="53">
        <v>207.51532797316844</v>
      </c>
      <c r="CD3" s="53">
        <v>207.24561675387378</v>
      </c>
      <c r="CE3" s="53">
        <v>207.08284841299022</v>
      </c>
      <c r="CF3" s="53">
        <v>208.37227990605021</v>
      </c>
      <c r="CG3" s="53">
        <v>207.10573098079891</v>
      </c>
      <c r="CH3" s="53">
        <v>206.1047532415862</v>
      </c>
      <c r="CI3" s="53">
        <v>202.87910395904012</v>
      </c>
      <c r="CJ3" s="53">
        <v>200.09677685189962</v>
      </c>
      <c r="CK3" s="53">
        <v>197.8571571438687</v>
      </c>
      <c r="CL3" s="53">
        <v>198.20572308398178</v>
      </c>
      <c r="CM3" s="53">
        <v>200.12406393471713</v>
      </c>
      <c r="CN3" s="53">
        <v>197.17366391632072</v>
      </c>
      <c r="CO3" s="53">
        <v>194.67337647125328</v>
      </c>
      <c r="CP3" s="53">
        <v>192.21872942405273</v>
      </c>
      <c r="CQ3" s="53">
        <v>185.17772332810472</v>
      </c>
      <c r="CR3" s="53">
        <v>179.89197718765729</v>
      </c>
      <c r="CS3" s="53">
        <v>174.97670491688589</v>
      </c>
      <c r="CT3" s="53">
        <v>168.64871252007737</v>
      </c>
      <c r="CU3" s="53">
        <v>155.01770532779403</v>
      </c>
      <c r="CV3" s="53">
        <v>159.24820417430539</v>
      </c>
      <c r="CW3" s="53">
        <v>160.85119341874898</v>
      </c>
      <c r="CX3" s="53">
        <v>161.57631488822051</v>
      </c>
      <c r="CY3" s="53">
        <v>159.36201723170967</v>
      </c>
      <c r="CZ3" s="53">
        <v>156.10855270067748</v>
      </c>
      <c r="DA3" s="53">
        <v>156.19299085346111</v>
      </c>
      <c r="DB3" s="53">
        <v>153.38559851378611</v>
      </c>
      <c r="DC3" s="53">
        <v>152.48486598920402</v>
      </c>
      <c r="DD3" s="53">
        <v>152.88261126084652</v>
      </c>
      <c r="DE3" s="53">
        <v>153.10000257365741</v>
      </c>
      <c r="DF3" s="53">
        <v>154.15015540826084</v>
      </c>
      <c r="DG3" s="53">
        <v>155.90608330993686</v>
      </c>
      <c r="DH3" s="53">
        <v>154.20424597399546</v>
      </c>
      <c r="DI3" s="53">
        <v>152.30355108797411</v>
      </c>
      <c r="DJ3" s="53">
        <v>150.94594513137369</v>
      </c>
      <c r="DK3" s="53">
        <v>150.13051048775665</v>
      </c>
      <c r="DL3" s="53">
        <v>148.83049205619179</v>
      </c>
      <c r="DM3" s="53">
        <v>146.08133187638572</v>
      </c>
      <c r="DN3" s="53">
        <v>144.91244553407731</v>
      </c>
      <c r="DO3" s="53">
        <v>145.81307000679618</v>
      </c>
      <c r="DP3" s="53">
        <v>145.1765223199117</v>
      </c>
      <c r="DQ3" s="53">
        <v>145.36331378002302</v>
      </c>
      <c r="DR3" s="53">
        <v>146.13681858485359</v>
      </c>
      <c r="DS3" s="53">
        <v>146.41534057459177</v>
      </c>
      <c r="DT3" s="53">
        <v>147.4794802524498</v>
      </c>
      <c r="DU3" s="53">
        <v>147.34053952334679</v>
      </c>
      <c r="DV3" s="53">
        <v>145.45064095406448</v>
      </c>
      <c r="DW3" s="53">
        <v>145.55690453140591</v>
      </c>
      <c r="DX3" s="53">
        <v>146.40797565262071</v>
      </c>
      <c r="DY3" s="53">
        <v>142.9563971442353</v>
      </c>
      <c r="DZ3" s="53">
        <v>142.24571811720648</v>
      </c>
      <c r="EA3" s="53">
        <v>141.05278245628909</v>
      </c>
      <c r="EB3" s="53">
        <v>140.24754102821365</v>
      </c>
      <c r="EC3" s="53">
        <v>140.18915182130468</v>
      </c>
      <c r="ED3" s="53">
        <v>138.60303202290757</v>
      </c>
      <c r="EE3" s="53">
        <v>136.82764006661904</v>
      </c>
      <c r="EF3" s="53">
        <v>137.38435443186452</v>
      </c>
      <c r="EG3" s="53">
        <v>136.88488698012713</v>
      </c>
      <c r="EH3" s="53">
        <v>136.28407486941819</v>
      </c>
      <c r="EI3" s="53">
        <v>136.61041277114231</v>
      </c>
      <c r="EJ3" s="53">
        <v>136.45153156198478</v>
      </c>
      <c r="EK3" s="53">
        <v>134.7806071088462</v>
      </c>
      <c r="EL3" s="53">
        <v>133.35291471308261</v>
      </c>
      <c r="EM3" s="53">
        <v>133.3377491516809</v>
      </c>
      <c r="EN3" s="53">
        <v>132.54924924639269</v>
      </c>
      <c r="EO3" s="53">
        <v>131.848976565508</v>
      </c>
      <c r="EP3" s="53">
        <v>130.37202459183877</v>
      </c>
      <c r="EQ3" s="53">
        <v>129.39873489829833</v>
      </c>
      <c r="ER3" s="53">
        <v>128.67177377500602</v>
      </c>
      <c r="ES3" s="53">
        <v>127.35806541559542</v>
      </c>
      <c r="ET3" s="53">
        <v>121.17682454207079</v>
      </c>
      <c r="EU3" s="53">
        <v>124.36914137676709</v>
      </c>
      <c r="EV3" s="53">
        <v>121.44170576255335</v>
      </c>
      <c r="EW3" s="53">
        <v>119.84251662818912</v>
      </c>
      <c r="EX3" s="53">
        <v>120.63208957882195</v>
      </c>
      <c r="EY3" s="53">
        <v>120.42316900485632</v>
      </c>
      <c r="EZ3" s="53">
        <v>118.96853776024814</v>
      </c>
      <c r="FA3" s="53">
        <v>117.9913497616327</v>
      </c>
      <c r="FB3" s="53">
        <v>118.00189775198413</v>
      </c>
      <c r="FC3" s="53">
        <v>117.76733544514512</v>
      </c>
      <c r="FD3" s="53">
        <v>117.20991532844849</v>
      </c>
      <c r="FE3" s="53">
        <v>116.00550947145301</v>
      </c>
      <c r="FF3" s="53">
        <v>117.82240934033943</v>
      </c>
      <c r="FG3" s="53">
        <v>119.58390061205399</v>
      </c>
      <c r="FH3" s="53">
        <v>120.89010192670533</v>
      </c>
      <c r="FI3" s="53">
        <v>118.30607992940101</v>
      </c>
      <c r="FJ3" s="53">
        <v>113.78316916160772</v>
      </c>
      <c r="FK3" s="53">
        <v>109.33232065151881</v>
      </c>
      <c r="FL3" s="53">
        <v>104.10572876422464</v>
      </c>
      <c r="FM3" s="53">
        <v>103.90231274796444</v>
      </c>
      <c r="FN3" s="53">
        <v>102.09584669707432</v>
      </c>
      <c r="FO3" s="53">
        <v>100.20679560936783</v>
      </c>
      <c r="FP3" s="53">
        <v>99.054472986718679</v>
      </c>
      <c r="FQ3" s="53">
        <v>98.849559580628039</v>
      </c>
      <c r="FR3" s="53">
        <v>103.1524032409169</v>
      </c>
      <c r="FS3" s="53">
        <v>97.64633334591592</v>
      </c>
      <c r="FT3" s="53">
        <v>96.741633297540616</v>
      </c>
      <c r="FU3" s="53">
        <v>96.210529278090377</v>
      </c>
      <c r="FV3" s="53">
        <v>96.422864087806019</v>
      </c>
      <c r="FW3" s="53">
        <v>96.903059732060697</v>
      </c>
      <c r="FX3" s="53">
        <v>97.675584508179952</v>
      </c>
      <c r="FY3" s="53">
        <v>97.490855087434639</v>
      </c>
      <c r="FZ3" s="53">
        <v>97.976446160786438</v>
      </c>
      <c r="GA3" s="53">
        <v>99.792915296501647</v>
      </c>
      <c r="GB3" s="53">
        <v>102.94417705784342</v>
      </c>
      <c r="GC3" s="53">
        <v>101.99356845012322</v>
      </c>
      <c r="GD3" s="53">
        <v>102.07117176948147</v>
      </c>
      <c r="GE3" s="53">
        <v>101.61490524062815</v>
      </c>
      <c r="GF3" s="53">
        <v>100.26828426306469</v>
      </c>
      <c r="GG3" s="53">
        <v>100.36315267662164</v>
      </c>
      <c r="GH3" s="53">
        <v>100.90587975727428</v>
      </c>
      <c r="GI3" s="53">
        <v>100.83887327591397</v>
      </c>
      <c r="GJ3" s="53">
        <v>100.40113085289644</v>
      </c>
      <c r="GK3" s="53">
        <v>99.853758453212222</v>
      </c>
      <c r="GL3" s="53">
        <v>99.007544174603851</v>
      </c>
      <c r="GM3" s="53">
        <v>99.127789640533948</v>
      </c>
      <c r="GN3" s="53">
        <v>98.884894751625069</v>
      </c>
      <c r="GO3" s="53">
        <v>98.546484814189057</v>
      </c>
      <c r="GP3" s="53">
        <v>98.485227490919556</v>
      </c>
      <c r="GQ3" s="53">
        <v>99.820293969797163</v>
      </c>
      <c r="GR3" s="53">
        <v>100.05834929942084</v>
      </c>
      <c r="GS3" s="53">
        <v>100.00759856684385</v>
      </c>
      <c r="GT3" s="53">
        <v>100.47403263403292</v>
      </c>
      <c r="GU3" s="53">
        <v>100.42686112262858</v>
      </c>
      <c r="GV3" s="53">
        <v>99.396401301468373</v>
      </c>
      <c r="GW3" s="53">
        <v>99.452976853209265</v>
      </c>
      <c r="GX3" s="53">
        <v>99.54888254219145</v>
      </c>
      <c r="GY3" s="53">
        <v>100.00634167895113</v>
      </c>
      <c r="GZ3" s="53">
        <v>99.850580439650273</v>
      </c>
      <c r="HA3" s="53">
        <v>99.01557427156385</v>
      </c>
      <c r="HB3" s="53">
        <v>98.165517693371228</v>
      </c>
      <c r="HC3" s="53">
        <v>97.294052869360485</v>
      </c>
      <c r="HD3" s="53">
        <v>96.517256463736999</v>
      </c>
      <c r="HE3" s="53">
        <v>96.089218679953419</v>
      </c>
      <c r="HF3" s="53">
        <v>94.845296873850543</v>
      </c>
      <c r="HG3" s="53">
        <v>93.935324132690241</v>
      </c>
      <c r="HH3" s="53">
        <v>92.122831045228281</v>
      </c>
      <c r="HI3" s="53">
        <v>90.7030710307032</v>
      </c>
      <c r="HJ3" s="54">
        <v>88.899989787028346</v>
      </c>
      <c r="HK3" s="54">
        <v>89.45956443711637</v>
      </c>
      <c r="HL3" s="54">
        <v>88.175195200850482</v>
      </c>
      <c r="HM3" s="54">
        <v>87.732204442230099</v>
      </c>
      <c r="HN3" s="54">
        <v>87.450808280397041</v>
      </c>
      <c r="HO3" s="54">
        <v>86.777292006054481</v>
      </c>
      <c r="HP3" s="54">
        <v>84.604283942409054</v>
      </c>
      <c r="HQ3" s="54">
        <v>84.178367034169398</v>
      </c>
      <c r="HR3" s="54">
        <v>83.764592443363853</v>
      </c>
      <c r="HS3" s="54">
        <v>83.534923502576135</v>
      </c>
      <c r="HT3" s="54">
        <v>82.774831411637564</v>
      </c>
      <c r="HU3" s="54">
        <v>81.661122938951181</v>
      </c>
      <c r="HV3" s="54">
        <v>80.932662322002486</v>
      </c>
      <c r="HW3" s="54">
        <v>80.148388102626228</v>
      </c>
      <c r="HX3" s="54">
        <v>79.634724592483479</v>
      </c>
      <c r="HY3" s="54">
        <v>78.938212845565673</v>
      </c>
      <c r="HZ3" s="54">
        <v>79.187284646519075</v>
      </c>
      <c r="IA3" s="54">
        <v>79.855389305987785</v>
      </c>
      <c r="IB3" s="54">
        <v>80.447808942673717</v>
      </c>
      <c r="IC3" s="54">
        <v>80.68229872400039</v>
      </c>
      <c r="ID3" s="54">
        <v>80.64580760810334</v>
      </c>
      <c r="IE3" s="53">
        <v>80.749988930145577</v>
      </c>
      <c r="IF3" s="53">
        <v>81.026750524119933</v>
      </c>
      <c r="IG3" s="54">
        <v>82.254906359035346</v>
      </c>
      <c r="IH3" s="53">
        <v>82.205037745088617</v>
      </c>
      <c r="II3" s="54">
        <v>81.170913770531556</v>
      </c>
      <c r="IJ3" s="54">
        <v>81.110521174535933</v>
      </c>
      <c r="IK3" s="54">
        <v>81.158609408637815</v>
      </c>
      <c r="IL3" s="53">
        <v>81.685408524574697</v>
      </c>
      <c r="IM3" s="53">
        <v>81.290173790439951</v>
      </c>
      <c r="IN3" s="53">
        <v>80.471854086728953</v>
      </c>
      <c r="IO3" s="53">
        <v>80.830098268153861</v>
      </c>
      <c r="IP3" s="53">
        <v>80.94834410654417</v>
      </c>
      <c r="IQ3" s="53">
        <v>81.211440399160324</v>
      </c>
      <c r="IR3" s="53">
        <v>80.250324615780173</v>
      </c>
      <c r="IS3" s="54">
        <v>79.481268244764351</v>
      </c>
      <c r="IT3" s="54">
        <v>78.524345810893763</v>
      </c>
      <c r="IU3" s="54">
        <v>77.367329842352916</v>
      </c>
      <c r="IV3" s="53">
        <v>76.6078270650235</v>
      </c>
      <c r="IW3" s="53">
        <v>76.702028014977756</v>
      </c>
      <c r="IX3" s="53">
        <v>75.99259531094151</v>
      </c>
      <c r="IY3" s="53">
        <v>75.686127301436017</v>
      </c>
      <c r="IZ3" s="53">
        <v>75.667144508377021</v>
      </c>
      <c r="JA3" s="53">
        <v>76.29125624477085</v>
      </c>
      <c r="JB3" s="53">
        <v>77.242750539497251</v>
      </c>
      <c r="JC3" s="53">
        <v>77.19789694205528</v>
      </c>
      <c r="JD3" s="53">
        <v>77.110085683245472</v>
      </c>
      <c r="JE3" s="53">
        <v>76.949742527729711</v>
      </c>
      <c r="JF3" s="53">
        <v>76.4373843615911</v>
      </c>
      <c r="JG3" s="53">
        <v>75.545942559539853</v>
      </c>
      <c r="JH3" s="53">
        <v>75.535944324462861</v>
      </c>
      <c r="JI3" s="53">
        <v>75.665632447903874</v>
      </c>
      <c r="JJ3" s="53">
        <v>75.067701601690402</v>
      </c>
      <c r="JK3" s="53">
        <v>73.625788789629141</v>
      </c>
      <c r="JL3" s="53">
        <v>75.369219561043494</v>
      </c>
      <c r="JM3" s="53">
        <v>76.50417054829029</v>
      </c>
      <c r="JN3" s="53">
        <v>77.054733068499502</v>
      </c>
      <c r="JO3" s="53">
        <v>76.612836563065429</v>
      </c>
      <c r="JP3" s="53">
        <v>75.261234064006118</v>
      </c>
      <c r="JQ3" s="53">
        <v>74.654896130255025</v>
      </c>
      <c r="JR3" s="53">
        <v>76.230863046269121</v>
      </c>
      <c r="JS3" s="53">
        <v>76.689904561590254</v>
      </c>
      <c r="JT3" s="53">
        <v>74.717808775747258</v>
      </c>
      <c r="JU3" s="53">
        <v>74.307305532124829</v>
      </c>
      <c r="JV3" s="53">
        <v>72.275162014409489</v>
      </c>
      <c r="JW3" s="53">
        <v>72.505212316230043</v>
      </c>
      <c r="JX3" s="53">
        <v>75.21838990964315</v>
      </c>
      <c r="JY3" s="53">
        <v>78.319773283805887</v>
      </c>
      <c r="JZ3" s="53">
        <v>77.528324630508507</v>
      </c>
      <c r="KA3" s="53">
        <v>75.32088047036622</v>
      </c>
      <c r="KB3" s="53">
        <v>73.88399330939761</v>
      </c>
      <c r="KC3" s="53">
        <v>78.626395605042532</v>
      </c>
      <c r="KD3" s="53">
        <v>75.565424584436883</v>
      </c>
      <c r="KE3" s="53">
        <v>73.738510783378004</v>
      </c>
      <c r="KF3" s="53">
        <v>76.137603551009008</v>
      </c>
      <c r="KG3" s="53">
        <v>73.363038396279322</v>
      </c>
      <c r="KH3" s="53">
        <v>73.857865925596144</v>
      </c>
      <c r="KI3" s="53">
        <v>73.610700668778122</v>
      </c>
      <c r="KJ3" s="53">
        <v>73.235740754667589</v>
      </c>
      <c r="KK3" s="53">
        <v>71.946672436681851</v>
      </c>
      <c r="KL3" s="53">
        <v>74.72817582588803</v>
      </c>
      <c r="KM3" s="53">
        <v>72.861767314981591</v>
      </c>
      <c r="KN3" s="53">
        <v>71.569784476123417</v>
      </c>
      <c r="KO3" s="53">
        <v>74.898150837748616</v>
      </c>
      <c r="KP3" s="53">
        <v>73.736405373854808</v>
      </c>
      <c r="KQ3" s="53">
        <v>70.668146341392557</v>
      </c>
      <c r="KR3" s="53">
        <v>72.25825374170779</v>
      </c>
      <c r="KS3" s="53">
        <v>70.133409788937954</v>
      </c>
      <c r="KT3" s="53">
        <v>67.342884285555556</v>
      </c>
      <c r="KU3" s="53">
        <v>69.839803923622824</v>
      </c>
      <c r="KV3" s="53">
        <v>68.830498424377794</v>
      </c>
      <c r="KW3" s="53">
        <v>67.452909616237207</v>
      </c>
      <c r="KX3" s="53">
        <v>68.593368131227521</v>
      </c>
      <c r="KY3" s="53">
        <v>67.822016661513246</v>
      </c>
      <c r="KZ3" s="53">
        <v>65.517171244408559</v>
      </c>
      <c r="LA3" s="53">
        <v>67.223786780288151</v>
      </c>
      <c r="LB3" s="53">
        <v>65.452997509579049</v>
      </c>
      <c r="LC3" s="53">
        <v>65.206185340791961</v>
      </c>
      <c r="LD3" s="53">
        <v>65.604735059593509</v>
      </c>
      <c r="LE3" s="53">
        <v>66.049995099324306</v>
      </c>
    </row>
    <row r="4" spans="1:322" s="53" customFormat="1" ht="12" x14ac:dyDescent="0.2">
      <c r="A4" s="52" t="s">
        <v>425</v>
      </c>
      <c r="B4" s="52" t="s">
        <v>429</v>
      </c>
      <c r="C4" s="52" t="s">
        <v>15</v>
      </c>
      <c r="D4" s="52" t="s">
        <v>430</v>
      </c>
      <c r="E4" s="52" t="s">
        <v>75</v>
      </c>
      <c r="F4" s="52" t="s">
        <v>428</v>
      </c>
      <c r="G4" s="52" t="s">
        <v>428</v>
      </c>
      <c r="H4" s="53">
        <v>71.198255765694228</v>
      </c>
      <c r="I4" s="53">
        <v>70.10122955412902</v>
      </c>
      <c r="J4" s="53">
        <v>73.180226880732675</v>
      </c>
      <c r="K4" s="53">
        <v>75.161325113167337</v>
      </c>
      <c r="L4" s="53">
        <v>76.936663832278413</v>
      </c>
      <c r="M4" s="53">
        <v>78.339669555431144</v>
      </c>
      <c r="N4" s="53">
        <v>79.6364810293163</v>
      </c>
      <c r="O4" s="53">
        <v>81.963674106994134</v>
      </c>
      <c r="P4" s="53">
        <v>87.141951768449417</v>
      </c>
      <c r="Q4" s="53">
        <v>90.401557206443982</v>
      </c>
      <c r="R4" s="53">
        <v>91.882156853068125</v>
      </c>
      <c r="S4" s="53">
        <v>93.357979101804872</v>
      </c>
      <c r="T4" s="53">
        <v>93.723379562645732</v>
      </c>
      <c r="U4" s="53">
        <v>93.248408291061679</v>
      </c>
      <c r="V4" s="53">
        <v>94.328795692364608</v>
      </c>
      <c r="W4" s="53">
        <v>96.033068706776078</v>
      </c>
      <c r="X4" s="53">
        <v>97.512203291881931</v>
      </c>
      <c r="Y4" s="53">
        <v>98.070309628017412</v>
      </c>
      <c r="Z4" s="53">
        <v>98.66729950902257</v>
      </c>
      <c r="AA4" s="53">
        <v>98.555401662098717</v>
      </c>
      <c r="AB4" s="53">
        <v>98.507021035121213</v>
      </c>
      <c r="AC4" s="53">
        <v>99.329886017193743</v>
      </c>
      <c r="AD4" s="53">
        <v>100.99153041259281</v>
      </c>
      <c r="AE4" s="53">
        <v>100.74176586937156</v>
      </c>
      <c r="AF4" s="53">
        <v>100.69137114731677</v>
      </c>
      <c r="AG4" s="53">
        <v>101.00376166830756</v>
      </c>
      <c r="AH4" s="53">
        <v>101.67765731661198</v>
      </c>
      <c r="AI4" s="53">
        <v>102.73872655445632</v>
      </c>
      <c r="AJ4" s="53">
        <v>102.34630170419601</v>
      </c>
      <c r="AK4" s="53">
        <v>103.95950615304635</v>
      </c>
      <c r="AL4" s="53">
        <v>103.96526719946388</v>
      </c>
      <c r="AM4" s="53">
        <v>104.86249069919704</v>
      </c>
      <c r="AN4" s="53">
        <v>106.92462239928062</v>
      </c>
      <c r="AO4" s="53">
        <v>107.92803364039499</v>
      </c>
      <c r="AP4" s="53">
        <v>109.20695977235837</v>
      </c>
      <c r="AQ4" s="53">
        <v>107.03467517721793</v>
      </c>
      <c r="AR4" s="53">
        <v>104.14014690508888</v>
      </c>
      <c r="AS4" s="53">
        <v>103.56400004436288</v>
      </c>
      <c r="AT4" s="53">
        <v>104.2582253085355</v>
      </c>
      <c r="AU4" s="53">
        <v>104.60760911910909</v>
      </c>
      <c r="AV4" s="53">
        <v>104.32285631137405</v>
      </c>
      <c r="AW4" s="53">
        <v>104.35743808513583</v>
      </c>
      <c r="AX4" s="53">
        <v>103.6759839262841</v>
      </c>
      <c r="AY4" s="53">
        <v>103.71337647741316</v>
      </c>
      <c r="AZ4" s="53">
        <v>104.00857448556818</v>
      </c>
      <c r="BA4" s="53">
        <v>103.41407359095456</v>
      </c>
      <c r="BB4" s="53">
        <v>102.45762771070632</v>
      </c>
      <c r="BC4" s="53">
        <v>101.51036699269281</v>
      </c>
      <c r="BD4" s="53">
        <v>101.21436583642047</v>
      </c>
      <c r="BE4" s="53">
        <v>101.25556566371583</v>
      </c>
      <c r="BF4" s="53">
        <v>100.19175238236176</v>
      </c>
      <c r="BG4" s="53">
        <v>99.116189958476355</v>
      </c>
      <c r="BH4" s="53">
        <v>99.397495283963934</v>
      </c>
      <c r="BI4" s="53">
        <v>100.29750121991469</v>
      </c>
      <c r="BJ4" s="53">
        <v>101.86638257335392</v>
      </c>
      <c r="BK4" s="53">
        <v>103.16652543708895</v>
      </c>
      <c r="BL4" s="53">
        <v>101.79753643045728</v>
      </c>
      <c r="BM4" s="53">
        <v>101.64040762813795</v>
      </c>
      <c r="BN4" s="53">
        <v>102.11822447710912</v>
      </c>
      <c r="BO4" s="53">
        <v>101.05369529512053</v>
      </c>
      <c r="BP4" s="53">
        <v>99.609304788492963</v>
      </c>
      <c r="BQ4" s="53">
        <v>99.018012394168622</v>
      </c>
      <c r="BR4" s="53">
        <v>96.948746728685848</v>
      </c>
      <c r="BS4" s="53">
        <v>96.003032503757041</v>
      </c>
      <c r="BT4" s="53">
        <v>97.725992069993367</v>
      </c>
      <c r="BU4" s="53">
        <v>99.331233123019885</v>
      </c>
      <c r="BV4" s="53">
        <v>100.06339457778732</v>
      </c>
      <c r="BW4" s="53">
        <v>100.34143421448312</v>
      </c>
      <c r="BX4" s="53">
        <v>101.68405971198445</v>
      </c>
      <c r="BY4" s="53">
        <v>102.27282584625704</v>
      </c>
      <c r="BZ4" s="53">
        <v>102.00072097469626</v>
      </c>
      <c r="CA4" s="53">
        <v>102.13882895057465</v>
      </c>
      <c r="CB4" s="53">
        <v>101.89978093143314</v>
      </c>
      <c r="CC4" s="53">
        <v>100.58383497479394</v>
      </c>
      <c r="CD4" s="53">
        <v>101.18921293486154</v>
      </c>
      <c r="CE4" s="53">
        <v>101.68239299920216</v>
      </c>
      <c r="CF4" s="53">
        <v>102.89268309164694</v>
      </c>
      <c r="CG4" s="53">
        <v>102.4729668320129</v>
      </c>
      <c r="CH4" s="53">
        <v>102.09143186425477</v>
      </c>
      <c r="CI4" s="53">
        <v>100.69395808990637</v>
      </c>
      <c r="CJ4" s="53">
        <v>99.372988189323792</v>
      </c>
      <c r="CK4" s="53">
        <v>99.025225400534595</v>
      </c>
      <c r="CL4" s="53">
        <v>99.092247144795166</v>
      </c>
      <c r="CM4" s="53">
        <v>100.19654233631815</v>
      </c>
      <c r="CN4" s="53">
        <v>98.959046540650547</v>
      </c>
      <c r="CO4" s="53">
        <v>98.53247308398899</v>
      </c>
      <c r="CP4" s="53">
        <v>98.180407159454035</v>
      </c>
      <c r="CQ4" s="53">
        <v>94.084896877348356</v>
      </c>
      <c r="CR4" s="53">
        <v>91.013288660005074</v>
      </c>
      <c r="CS4" s="53">
        <v>88.936568434664068</v>
      </c>
      <c r="CT4" s="53">
        <v>87.087404007542034</v>
      </c>
      <c r="CU4" s="53">
        <v>81.352968343137633</v>
      </c>
      <c r="CV4" s="53">
        <v>85.028349000177144</v>
      </c>
      <c r="CW4" s="53">
        <v>86.518933405869575</v>
      </c>
      <c r="CX4" s="53">
        <v>87.691781627862454</v>
      </c>
      <c r="CY4" s="53">
        <v>87.423766396958712</v>
      </c>
      <c r="CZ4" s="53">
        <v>86.68432331132621</v>
      </c>
      <c r="DA4" s="53">
        <v>87.459762652167001</v>
      </c>
      <c r="DB4" s="53">
        <v>86.626360209398641</v>
      </c>
      <c r="DC4" s="53">
        <v>86.68756281491207</v>
      </c>
      <c r="DD4" s="53">
        <v>87.448300398894716</v>
      </c>
      <c r="DE4" s="53">
        <v>87.999037981093736</v>
      </c>
      <c r="DF4" s="53">
        <v>88.630431564557185</v>
      </c>
      <c r="DG4" s="53">
        <v>89.624401137022275</v>
      </c>
      <c r="DH4" s="53">
        <v>88.554863629015074</v>
      </c>
      <c r="DI4" s="53">
        <v>87.914791774652116</v>
      </c>
      <c r="DJ4" s="53">
        <v>88.069891262412796</v>
      </c>
      <c r="DK4" s="53">
        <v>87.734407365490156</v>
      </c>
      <c r="DL4" s="53">
        <v>89.145086238391102</v>
      </c>
      <c r="DM4" s="53">
        <v>89.568094405113655</v>
      </c>
      <c r="DN4" s="53">
        <v>89.69932525690021</v>
      </c>
      <c r="DO4" s="53">
        <v>90.256091884302123</v>
      </c>
      <c r="DP4" s="53">
        <v>90.586779313147716</v>
      </c>
      <c r="DQ4" s="53">
        <v>91.562426131591693</v>
      </c>
      <c r="DR4" s="53">
        <v>93.328551789579578</v>
      </c>
      <c r="DS4" s="53">
        <v>95.19375752949847</v>
      </c>
      <c r="DT4" s="53">
        <v>96.833680789743482</v>
      </c>
      <c r="DU4" s="53">
        <v>97.429167972968003</v>
      </c>
      <c r="DV4" s="53">
        <v>95.903598794468508</v>
      </c>
      <c r="DW4" s="53">
        <v>97.424996859066979</v>
      </c>
      <c r="DX4" s="53">
        <v>97.947611653753256</v>
      </c>
      <c r="DY4" s="53">
        <v>96.275873394984714</v>
      </c>
      <c r="DZ4" s="53">
        <v>95.941036923262359</v>
      </c>
      <c r="EA4" s="53">
        <v>94.861966760561444</v>
      </c>
      <c r="EB4" s="53">
        <v>94.893998283172692</v>
      </c>
      <c r="EC4" s="53">
        <v>95.045591564417393</v>
      </c>
      <c r="ED4" s="53">
        <v>94.534860557664004</v>
      </c>
      <c r="EE4" s="53">
        <v>92.987466838946276</v>
      </c>
      <c r="EF4" s="53">
        <v>94.091791311952448</v>
      </c>
      <c r="EG4" s="53">
        <v>94.311832962091216</v>
      </c>
      <c r="EH4" s="53">
        <v>93.98305571134064</v>
      </c>
      <c r="EI4" s="53">
        <v>94.883522703885575</v>
      </c>
      <c r="EJ4" s="53">
        <v>94.575686607772539</v>
      </c>
      <c r="EK4" s="53">
        <v>93.30781842526649</v>
      </c>
      <c r="EL4" s="53">
        <v>92.427393121675024</v>
      </c>
      <c r="EM4" s="53">
        <v>93.193761170009068</v>
      </c>
      <c r="EN4" s="53">
        <v>92.996262288993805</v>
      </c>
      <c r="EO4" s="53">
        <v>93.435636221365854</v>
      </c>
      <c r="EP4" s="53">
        <v>92.392038641318663</v>
      </c>
      <c r="EQ4" s="53">
        <v>92.360820230907635</v>
      </c>
      <c r="ER4" s="53">
        <v>92.07837124090355</v>
      </c>
      <c r="ES4" s="53">
        <v>91.445064361481982</v>
      </c>
      <c r="ET4" s="53">
        <v>87.90222822796305</v>
      </c>
      <c r="EU4" s="53">
        <v>91.184164006456001</v>
      </c>
      <c r="EV4" s="53">
        <v>89.801464412288155</v>
      </c>
      <c r="EW4" s="53">
        <v>91.09050903445663</v>
      </c>
      <c r="EX4" s="53">
        <v>93.631360540330348</v>
      </c>
      <c r="EY4" s="53">
        <v>95.082313264426318</v>
      </c>
      <c r="EZ4" s="53">
        <v>95.509172836849061</v>
      </c>
      <c r="FA4" s="53">
        <v>95.419046832121467</v>
      </c>
      <c r="FB4" s="53">
        <v>96.467138169124496</v>
      </c>
      <c r="FC4" s="53">
        <v>97.673296008281895</v>
      </c>
      <c r="FD4" s="53">
        <v>98.104267008169614</v>
      </c>
      <c r="FE4" s="53">
        <v>98.961434019355536</v>
      </c>
      <c r="FF4" s="53">
        <v>101.90741083514538</v>
      </c>
      <c r="FG4" s="53">
        <v>103.79797518576996</v>
      </c>
      <c r="FH4" s="53">
        <v>105.53006218800434</v>
      </c>
      <c r="FI4" s="53">
        <v>104.03646193020857</v>
      </c>
      <c r="FJ4" s="53">
        <v>100.6105903891205</v>
      </c>
      <c r="FK4" s="53">
        <v>96.12930735689163</v>
      </c>
      <c r="FL4" s="53">
        <v>92.284073084505408</v>
      </c>
      <c r="FM4" s="53">
        <v>92.820076041554884</v>
      </c>
      <c r="FN4" s="53">
        <v>91.574497464365692</v>
      </c>
      <c r="FO4" s="53">
        <v>90.395446564457899</v>
      </c>
      <c r="FP4" s="53">
        <v>90.010329320077631</v>
      </c>
      <c r="FQ4" s="53">
        <v>90.406152453936599</v>
      </c>
      <c r="FR4" s="53">
        <v>94.581852498611866</v>
      </c>
      <c r="FS4" s="53">
        <v>90.690016093375846</v>
      </c>
      <c r="FT4" s="53">
        <v>90.363353076042728</v>
      </c>
      <c r="FU4" s="53">
        <v>90.461862877267166</v>
      </c>
      <c r="FV4" s="53">
        <v>91.493511431944029</v>
      </c>
      <c r="FW4" s="53">
        <v>92.944756573763186</v>
      </c>
      <c r="FX4" s="53">
        <v>95.813353966949819</v>
      </c>
      <c r="FY4" s="53">
        <v>95.766434166155221</v>
      </c>
      <c r="FZ4" s="53">
        <v>97.424736478242806</v>
      </c>
      <c r="GA4" s="53">
        <v>99.636844725781756</v>
      </c>
      <c r="GB4" s="53">
        <v>103.30628606908556</v>
      </c>
      <c r="GC4" s="53">
        <v>102.5182441879237</v>
      </c>
      <c r="GD4" s="53">
        <v>102.91661194068608</v>
      </c>
      <c r="GE4" s="53">
        <v>102.42681831422011</v>
      </c>
      <c r="GF4" s="53">
        <v>101.30459266233028</v>
      </c>
      <c r="GG4" s="53">
        <v>102.20077382667452</v>
      </c>
      <c r="GH4" s="53">
        <v>103.74054708818686</v>
      </c>
      <c r="GI4" s="53">
        <v>103.16091675160138</v>
      </c>
      <c r="GJ4" s="53">
        <v>102.17930066460876</v>
      </c>
      <c r="GK4" s="53">
        <v>101.9941751800116</v>
      </c>
      <c r="GL4" s="53">
        <v>101.33997203439992</v>
      </c>
      <c r="GM4" s="53">
        <v>101.86038782230213</v>
      </c>
      <c r="GN4" s="53">
        <v>102.19540109498119</v>
      </c>
      <c r="GO4" s="53">
        <v>102.44849391728496</v>
      </c>
      <c r="GP4" s="53">
        <v>102.70062968613658</v>
      </c>
      <c r="GQ4" s="53">
        <v>104.16994669251574</v>
      </c>
      <c r="GR4" s="53">
        <v>104.5564261001616</v>
      </c>
      <c r="GS4" s="53">
        <v>104.82828245838695</v>
      </c>
      <c r="GT4" s="53">
        <v>105.59243047133037</v>
      </c>
      <c r="GU4" s="53">
        <v>105.68334430720424</v>
      </c>
      <c r="GV4" s="53">
        <v>105.60564720851859</v>
      </c>
      <c r="GW4" s="53">
        <v>105.50234308606915</v>
      </c>
      <c r="GX4" s="53">
        <v>106.01163198033159</v>
      </c>
      <c r="GY4" s="53">
        <v>107.0431266983733</v>
      </c>
      <c r="GZ4" s="53">
        <v>107.56906350138003</v>
      </c>
      <c r="HA4" s="53">
        <v>106.30865206962066</v>
      </c>
      <c r="HB4" s="53">
        <v>105.34612064319833</v>
      </c>
      <c r="HC4" s="53">
        <v>105.48656812324202</v>
      </c>
      <c r="HD4" s="53">
        <v>105.08855454786585</v>
      </c>
      <c r="HE4" s="53">
        <v>105.36574384827355</v>
      </c>
      <c r="HF4" s="53">
        <v>104.86380845367036</v>
      </c>
      <c r="HG4" s="53">
        <v>104.45817209459776</v>
      </c>
      <c r="HH4" s="53">
        <v>103.06197441967315</v>
      </c>
      <c r="HI4" s="53">
        <v>102.59409101475011</v>
      </c>
      <c r="HJ4" s="54">
        <v>101.30625870144347</v>
      </c>
      <c r="HK4" s="54">
        <v>102.39889799036281</v>
      </c>
      <c r="HL4" s="54">
        <v>100.87714877045579</v>
      </c>
      <c r="HM4" s="54">
        <v>100.77056394714555</v>
      </c>
      <c r="HN4" s="54">
        <v>100.4162070478577</v>
      </c>
      <c r="HO4" s="54">
        <v>101.64918374091749</v>
      </c>
      <c r="HP4" s="54">
        <v>99.619080624374035</v>
      </c>
      <c r="HQ4" s="54">
        <v>99.286484498129539</v>
      </c>
      <c r="HR4" s="54">
        <v>99.177291696579289</v>
      </c>
      <c r="HS4" s="54">
        <v>99.515367110878714</v>
      </c>
      <c r="HT4" s="54">
        <v>98.966694827194118</v>
      </c>
      <c r="HU4" s="54">
        <v>98.218995958608318</v>
      </c>
      <c r="HV4" s="54">
        <v>97.223232974047278</v>
      </c>
      <c r="HW4" s="54">
        <v>96.990251186810838</v>
      </c>
      <c r="HX4" s="54">
        <v>96.246363357066528</v>
      </c>
      <c r="HY4" s="54">
        <v>96.54830522533679</v>
      </c>
      <c r="HZ4" s="54">
        <v>97.660770270709122</v>
      </c>
      <c r="IA4" s="54">
        <v>99.844618747996094</v>
      </c>
      <c r="IB4" s="54">
        <v>100.37633445604068</v>
      </c>
      <c r="IC4" s="54">
        <v>100.31011171952089</v>
      </c>
      <c r="ID4" s="54">
        <v>100.13390013791303</v>
      </c>
      <c r="IE4" s="53">
        <v>100.42480552684809</v>
      </c>
      <c r="IF4" s="53">
        <v>100.4380828790507</v>
      </c>
      <c r="IG4" s="54">
        <v>102.07330761181228</v>
      </c>
      <c r="IH4" s="53">
        <v>102.50774042299146</v>
      </c>
      <c r="II4" s="54">
        <v>101.44642429126118</v>
      </c>
      <c r="IJ4" s="54">
        <v>101.46392008597277</v>
      </c>
      <c r="IK4" s="54">
        <v>102.00170624884879</v>
      </c>
      <c r="IL4" s="53">
        <v>103.16897495476243</v>
      </c>
      <c r="IM4" s="53">
        <v>102.60076571177161</v>
      </c>
      <c r="IN4" s="53">
        <v>101.59561870846203</v>
      </c>
      <c r="IO4" s="53">
        <v>102.44782996136567</v>
      </c>
      <c r="IP4" s="53">
        <v>102.88918948302539</v>
      </c>
      <c r="IQ4" s="53">
        <v>103.23760552952899</v>
      </c>
      <c r="IR4" s="53">
        <v>101.73279079560287</v>
      </c>
      <c r="IS4" s="54">
        <v>100.34720105264942</v>
      </c>
      <c r="IT4" s="54">
        <v>98.959085717255419</v>
      </c>
      <c r="IU4" s="54">
        <v>97.51090574453211</v>
      </c>
      <c r="IV4" s="53">
        <v>96.983574903439489</v>
      </c>
      <c r="IW4" s="53">
        <v>97.119770508147084</v>
      </c>
      <c r="IX4" s="53">
        <v>96.369051769415648</v>
      </c>
      <c r="IY4" s="53">
        <v>95.74946463362221</v>
      </c>
      <c r="IZ4" s="53">
        <v>95.683469825679595</v>
      </c>
      <c r="JA4" s="53">
        <v>96.57491969732763</v>
      </c>
      <c r="JB4" s="53">
        <v>97.916676262573773</v>
      </c>
      <c r="JC4" s="53">
        <v>98.327653030404704</v>
      </c>
      <c r="JD4" s="53">
        <v>98.847504851131234</v>
      </c>
      <c r="JE4" s="53">
        <v>98.94713966766902</v>
      </c>
      <c r="JF4" s="53">
        <v>98.789279364107585</v>
      </c>
      <c r="JG4" s="53">
        <v>97.719431456506669</v>
      </c>
      <c r="JH4" s="53">
        <v>98.0683745671151</v>
      </c>
      <c r="JI4" s="53">
        <v>98.358202355411819</v>
      </c>
      <c r="JJ4" s="53">
        <v>97.319494770895218</v>
      </c>
      <c r="JK4" s="53">
        <v>95.326768496511008</v>
      </c>
      <c r="JL4" s="53">
        <v>97.815460187887382</v>
      </c>
      <c r="JM4" s="53">
        <v>99.290816764644902</v>
      </c>
      <c r="JN4" s="53">
        <v>100.50626929822906</v>
      </c>
      <c r="JO4" s="53">
        <v>100.18716121875546</v>
      </c>
      <c r="JP4" s="53">
        <v>98.420253460800993</v>
      </c>
      <c r="JQ4" s="53">
        <v>97.498587845313551</v>
      </c>
      <c r="JR4" s="53">
        <v>99.328265167557717</v>
      </c>
      <c r="JS4" s="53">
        <v>99.690609926925561</v>
      </c>
      <c r="JT4" s="53">
        <v>97.069468186139957</v>
      </c>
      <c r="JU4" s="53">
        <v>96.863559539844957</v>
      </c>
      <c r="JV4" s="53">
        <v>94.661548997166747</v>
      </c>
      <c r="JW4" s="53">
        <v>95.482087925000741</v>
      </c>
      <c r="JX4" s="53">
        <v>99.54909649385219</v>
      </c>
      <c r="JY4" s="53">
        <v>103.36820504777859</v>
      </c>
      <c r="JZ4" s="53">
        <v>101.53593976849058</v>
      </c>
      <c r="KA4" s="53">
        <v>98.998623430961842</v>
      </c>
      <c r="KB4" s="53">
        <v>97.185033827738337</v>
      </c>
      <c r="KC4" s="53">
        <v>103.89577901159922</v>
      </c>
      <c r="KD4" s="53">
        <v>99.956723324786239</v>
      </c>
      <c r="KE4" s="53">
        <v>98.210410582897936</v>
      </c>
      <c r="KF4" s="53">
        <v>101.00243978386187</v>
      </c>
      <c r="KG4" s="53">
        <v>97.698280487957859</v>
      </c>
      <c r="KH4" s="53">
        <v>98.704828283576148</v>
      </c>
      <c r="KI4" s="53">
        <v>98.311364419243759</v>
      </c>
      <c r="KJ4" s="53">
        <v>98.142831537875992</v>
      </c>
      <c r="KK4" s="53">
        <v>97.055527331101558</v>
      </c>
      <c r="KL4" s="53">
        <v>101.29706630922416</v>
      </c>
      <c r="KM4" s="53">
        <v>97.93538344612287</v>
      </c>
      <c r="KN4" s="53">
        <v>97.110837012485092</v>
      </c>
      <c r="KO4" s="53">
        <v>101.64445041293429</v>
      </c>
      <c r="KP4" s="53">
        <v>101.04163050632783</v>
      </c>
      <c r="KQ4" s="53">
        <v>97.29664875430197</v>
      </c>
      <c r="KR4" s="53">
        <v>99.385509513278407</v>
      </c>
      <c r="KS4" s="53">
        <v>96.639100470976331</v>
      </c>
      <c r="KT4" s="53">
        <v>92.873011395973776</v>
      </c>
      <c r="KU4" s="53">
        <v>96.610139974017258</v>
      </c>
      <c r="KV4" s="53">
        <v>95.557823139927379</v>
      </c>
      <c r="KW4" s="53">
        <v>93.90775964317109</v>
      </c>
      <c r="KX4" s="53">
        <v>95.484989162240993</v>
      </c>
      <c r="KY4" s="53">
        <v>93.403115301583924</v>
      </c>
      <c r="KZ4" s="53">
        <v>90.083471546505478</v>
      </c>
      <c r="LA4" s="53">
        <v>92.185826958454513</v>
      </c>
      <c r="LB4" s="53">
        <v>89.534715332667318</v>
      </c>
      <c r="LC4" s="53">
        <v>88.951580301823114</v>
      </c>
      <c r="LD4" s="53">
        <v>89.150619692583163</v>
      </c>
      <c r="LE4" s="53">
        <v>89.564297174903075</v>
      </c>
    </row>
    <row r="5" spans="1:322" s="57" customFormat="1" ht="12" x14ac:dyDescent="0.2">
      <c r="A5" s="55"/>
      <c r="B5" s="55"/>
      <c r="C5" s="55"/>
      <c r="D5" s="55"/>
      <c r="E5" s="56"/>
      <c r="F5" s="56"/>
      <c r="G5" s="56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8"/>
      <c r="BL5" s="58"/>
      <c r="BM5" s="58"/>
      <c r="BN5" s="58"/>
      <c r="BO5" s="58"/>
      <c r="BP5" s="58"/>
      <c r="BQ5" s="58"/>
      <c r="BR5" s="58"/>
      <c r="BS5" s="58"/>
      <c r="BT5" s="58"/>
      <c r="BU5" s="58"/>
      <c r="BV5" s="58"/>
      <c r="BW5" s="58"/>
      <c r="BX5" s="58"/>
      <c r="BY5" s="58"/>
      <c r="BZ5" s="58"/>
      <c r="CA5" s="58"/>
      <c r="CB5" s="58"/>
      <c r="CC5" s="58"/>
      <c r="CD5" s="58"/>
      <c r="CE5" s="58"/>
      <c r="CF5" s="58"/>
      <c r="CG5" s="58"/>
      <c r="CH5" s="58"/>
      <c r="CI5" s="58"/>
      <c r="CJ5" s="58"/>
      <c r="CK5" s="58"/>
      <c r="CL5" s="58"/>
      <c r="CM5" s="58"/>
      <c r="CN5" s="58"/>
      <c r="CO5" s="58"/>
      <c r="CP5" s="58"/>
      <c r="CQ5" s="58"/>
      <c r="CR5" s="58"/>
      <c r="CS5" s="58"/>
      <c r="CT5" s="58"/>
      <c r="CU5" s="58"/>
      <c r="CV5" s="58"/>
      <c r="CW5" s="58"/>
      <c r="CX5" s="58"/>
      <c r="CY5" s="58"/>
      <c r="CZ5" s="58"/>
      <c r="DA5" s="58"/>
      <c r="DB5" s="58"/>
      <c r="DC5" s="58"/>
      <c r="DD5" s="58"/>
      <c r="DE5" s="58"/>
      <c r="DF5" s="58"/>
      <c r="DG5" s="58"/>
      <c r="DH5" s="58"/>
      <c r="DI5" s="58"/>
      <c r="DJ5" s="58"/>
      <c r="DK5" s="58"/>
      <c r="DL5" s="58"/>
      <c r="DM5" s="58"/>
      <c r="DN5" s="58"/>
      <c r="DO5" s="58"/>
      <c r="DP5" s="58"/>
      <c r="DQ5" s="58"/>
      <c r="DR5" s="58"/>
      <c r="DS5" s="58"/>
      <c r="DT5" s="58"/>
      <c r="DU5" s="58"/>
      <c r="DV5" s="58"/>
      <c r="DW5" s="58"/>
      <c r="DX5" s="58"/>
      <c r="DY5" s="58"/>
      <c r="DZ5" s="58"/>
      <c r="EA5" s="58"/>
      <c r="EB5" s="58"/>
      <c r="EC5" s="58"/>
      <c r="ED5" s="58"/>
      <c r="EE5" s="58"/>
      <c r="EF5" s="58"/>
      <c r="EG5" s="58"/>
      <c r="EH5" s="58"/>
      <c r="EI5" s="58"/>
      <c r="EJ5" s="58"/>
      <c r="EK5" s="58"/>
      <c r="EL5" s="58"/>
      <c r="EM5" s="58"/>
      <c r="EN5" s="58"/>
      <c r="EO5" s="58"/>
      <c r="EP5" s="58"/>
      <c r="EQ5" s="58"/>
      <c r="ER5" s="58"/>
      <c r="ES5" s="58"/>
      <c r="ET5" s="58"/>
      <c r="EU5" s="58"/>
      <c r="EV5" s="58"/>
      <c r="EW5" s="58"/>
      <c r="EX5" s="58"/>
      <c r="EY5" s="58"/>
      <c r="EZ5" s="58"/>
      <c r="FA5" s="58"/>
      <c r="FB5" s="58"/>
      <c r="FC5" s="58"/>
      <c r="FD5" s="58"/>
      <c r="FE5" s="58"/>
      <c r="FF5" s="58"/>
      <c r="FG5" s="58"/>
      <c r="FH5" s="58"/>
      <c r="FI5" s="58"/>
      <c r="FJ5" s="58"/>
      <c r="FK5" s="58"/>
      <c r="FL5" s="58"/>
      <c r="FM5" s="58"/>
      <c r="FN5" s="58"/>
      <c r="FO5" s="58"/>
      <c r="FP5" s="58"/>
      <c r="FQ5" s="58"/>
      <c r="FR5" s="58"/>
      <c r="FS5" s="58"/>
      <c r="FT5" s="58"/>
      <c r="FU5" s="58"/>
      <c r="FV5" s="58"/>
      <c r="FW5" s="58"/>
      <c r="FX5" s="58"/>
      <c r="FY5" s="58"/>
      <c r="FZ5" s="58"/>
      <c r="GA5" s="58"/>
      <c r="GB5" s="58"/>
      <c r="GC5" s="58"/>
      <c r="GD5" s="58"/>
      <c r="GE5" s="58"/>
      <c r="GF5" s="58"/>
      <c r="GG5" s="58"/>
      <c r="GH5" s="58"/>
      <c r="GI5" s="58"/>
      <c r="GJ5" s="58"/>
      <c r="GK5" s="58"/>
      <c r="GL5" s="58"/>
      <c r="GM5" s="58"/>
      <c r="GN5" s="58"/>
      <c r="GO5" s="58"/>
      <c r="GP5" s="58"/>
      <c r="GQ5" s="58"/>
      <c r="GR5" s="58"/>
      <c r="GS5" s="58"/>
      <c r="GT5" s="58"/>
      <c r="GU5" s="58"/>
      <c r="GV5" s="58"/>
      <c r="GW5" s="58"/>
      <c r="GX5" s="58"/>
      <c r="GY5" s="58"/>
      <c r="GZ5" s="58"/>
      <c r="HA5" s="58"/>
      <c r="HB5" s="58"/>
      <c r="HC5" s="58"/>
      <c r="HD5" s="58"/>
      <c r="HE5" s="58"/>
      <c r="HF5" s="58"/>
      <c r="HG5" s="58"/>
      <c r="HH5" s="58"/>
      <c r="HI5" s="58"/>
      <c r="HJ5" s="58"/>
      <c r="HK5" s="58"/>
      <c r="HL5" s="58"/>
      <c r="HM5" s="58"/>
      <c r="HN5" s="58"/>
      <c r="HO5" s="58"/>
      <c r="HP5" s="58"/>
      <c r="HQ5" s="58"/>
      <c r="HR5" s="58"/>
      <c r="HS5" s="58"/>
      <c r="HT5" s="58"/>
      <c r="HU5" s="58"/>
      <c r="HV5" s="58"/>
      <c r="HW5" s="58"/>
      <c r="HX5" s="58"/>
      <c r="HY5" s="58"/>
      <c r="HZ5" s="58"/>
      <c r="IA5" s="58"/>
      <c r="IB5" s="58"/>
      <c r="IC5" s="58"/>
      <c r="ID5" s="58"/>
      <c r="IE5" s="58"/>
      <c r="IF5" s="58"/>
      <c r="IG5" s="58"/>
      <c r="IH5" s="58"/>
      <c r="II5" s="58"/>
      <c r="IJ5" s="58"/>
      <c r="IK5" s="58"/>
      <c r="IL5" s="58"/>
      <c r="IM5" s="58"/>
      <c r="IN5" s="58"/>
      <c r="IO5" s="58"/>
      <c r="IP5" s="58"/>
      <c r="IQ5" s="58"/>
      <c r="IR5" s="58"/>
      <c r="IS5" s="58"/>
      <c r="IT5" s="58"/>
      <c r="IU5" s="58"/>
      <c r="IV5" s="58"/>
      <c r="IW5" s="58"/>
      <c r="IX5" s="58"/>
      <c r="IY5" s="58"/>
      <c r="IZ5" s="58"/>
      <c r="JA5" s="58"/>
      <c r="JB5" s="58"/>
      <c r="JC5" s="58"/>
      <c r="JD5" s="58"/>
      <c r="JE5" s="58"/>
      <c r="JF5" s="58"/>
      <c r="JG5" s="58"/>
      <c r="JH5" s="58"/>
      <c r="JI5" s="58"/>
      <c r="JJ5" s="58"/>
      <c r="JK5" s="58"/>
      <c r="JL5" s="58"/>
      <c r="JM5" s="58"/>
      <c r="JN5" s="58"/>
      <c r="JO5" s="58"/>
      <c r="JP5" s="58"/>
      <c r="JQ5" s="58"/>
      <c r="JR5" s="58"/>
      <c r="JS5" s="58"/>
      <c r="JT5" s="58"/>
      <c r="JU5" s="58"/>
      <c r="JV5" s="58"/>
      <c r="JW5" s="58"/>
      <c r="JX5" s="58"/>
      <c r="JY5" s="58"/>
      <c r="JZ5" s="58"/>
      <c r="KA5" s="58"/>
      <c r="KB5" s="58"/>
      <c r="KC5" s="58"/>
      <c r="KD5" s="58"/>
      <c r="KE5" s="58"/>
    </row>
    <row r="6" spans="1:322" s="56" customFormat="1" ht="12" x14ac:dyDescent="0.2">
      <c r="D6" s="55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58"/>
      <c r="BO6" s="58"/>
      <c r="BP6" s="58"/>
      <c r="BQ6" s="58"/>
      <c r="BR6" s="58"/>
      <c r="BS6" s="58"/>
      <c r="BT6" s="58"/>
      <c r="BU6" s="58"/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/>
      <c r="CP6" s="58"/>
      <c r="CQ6" s="58"/>
      <c r="CR6" s="58"/>
      <c r="CS6" s="58"/>
      <c r="CT6" s="58"/>
      <c r="CU6" s="58"/>
      <c r="CV6" s="58"/>
      <c r="CW6" s="58"/>
      <c r="CX6" s="58"/>
      <c r="CY6" s="58"/>
      <c r="CZ6" s="58"/>
      <c r="DA6" s="58"/>
      <c r="DB6" s="58"/>
      <c r="DC6" s="58"/>
      <c r="DD6" s="58"/>
      <c r="DE6" s="58"/>
      <c r="DF6" s="58"/>
      <c r="DG6" s="58"/>
      <c r="DH6" s="58"/>
      <c r="DI6" s="58"/>
      <c r="DJ6" s="58"/>
      <c r="DK6" s="58"/>
      <c r="DL6" s="58"/>
      <c r="DM6" s="58"/>
      <c r="DN6" s="58"/>
      <c r="DO6" s="58"/>
      <c r="DP6" s="58"/>
      <c r="DQ6" s="58"/>
      <c r="DR6" s="58"/>
      <c r="DS6" s="58"/>
      <c r="DT6" s="58"/>
      <c r="DU6" s="58"/>
      <c r="DV6" s="58"/>
      <c r="DW6" s="58"/>
      <c r="DX6" s="58"/>
      <c r="DY6" s="58"/>
      <c r="DZ6" s="58"/>
      <c r="EA6" s="58"/>
      <c r="EB6" s="58"/>
      <c r="EC6" s="58"/>
      <c r="ED6" s="58"/>
      <c r="EE6" s="58"/>
      <c r="EF6" s="58"/>
      <c r="EG6" s="58"/>
      <c r="EH6" s="58"/>
      <c r="EI6" s="58"/>
      <c r="EJ6" s="58"/>
      <c r="EK6" s="58"/>
      <c r="EL6" s="58"/>
      <c r="EM6" s="58"/>
      <c r="EN6" s="58"/>
      <c r="EO6" s="58"/>
      <c r="EP6" s="58"/>
      <c r="EQ6" s="58"/>
      <c r="ER6" s="58"/>
      <c r="ES6" s="58"/>
      <c r="ET6" s="58"/>
      <c r="EU6" s="58"/>
      <c r="EV6" s="58"/>
      <c r="EW6" s="58"/>
      <c r="EX6" s="58"/>
      <c r="EY6" s="58"/>
      <c r="EZ6" s="58"/>
      <c r="FA6" s="58"/>
      <c r="FB6" s="58"/>
      <c r="FC6" s="58"/>
      <c r="FD6" s="58"/>
      <c r="FE6" s="58"/>
      <c r="FF6" s="58"/>
      <c r="FG6" s="58"/>
      <c r="FH6" s="58"/>
      <c r="FI6" s="58"/>
      <c r="FJ6" s="58"/>
      <c r="FK6" s="58"/>
      <c r="FL6" s="58"/>
      <c r="FM6" s="58"/>
      <c r="FN6" s="58"/>
      <c r="FO6" s="58"/>
      <c r="FP6" s="58"/>
      <c r="FQ6" s="58"/>
      <c r="FR6" s="58"/>
      <c r="FS6" s="58"/>
      <c r="FT6" s="58"/>
      <c r="FU6" s="58"/>
      <c r="FV6" s="58"/>
      <c r="FW6" s="58"/>
      <c r="FX6" s="58"/>
      <c r="FY6" s="58"/>
      <c r="FZ6" s="58"/>
      <c r="GA6" s="58"/>
      <c r="GB6" s="58"/>
      <c r="GC6" s="58"/>
      <c r="GD6" s="58"/>
      <c r="GE6" s="58"/>
      <c r="GF6" s="58"/>
      <c r="GG6" s="58"/>
      <c r="GH6" s="58"/>
      <c r="GI6" s="58"/>
      <c r="GJ6" s="58"/>
      <c r="GK6" s="58"/>
      <c r="GL6" s="58"/>
      <c r="GM6" s="58"/>
      <c r="GN6" s="58"/>
      <c r="GO6" s="58"/>
      <c r="GP6" s="58"/>
      <c r="GQ6" s="58"/>
      <c r="GR6" s="58"/>
      <c r="GS6" s="58"/>
      <c r="GT6" s="58"/>
      <c r="GU6" s="58"/>
      <c r="GV6" s="58"/>
      <c r="GW6" s="58"/>
      <c r="GX6" s="58"/>
      <c r="GY6" s="58"/>
      <c r="GZ6" s="58"/>
      <c r="HA6" s="58"/>
      <c r="HB6" s="58"/>
      <c r="HC6" s="58"/>
      <c r="HD6" s="58"/>
      <c r="HE6" s="58"/>
      <c r="HF6" s="58"/>
      <c r="HG6" s="58"/>
      <c r="HH6" s="58"/>
      <c r="HI6" s="58"/>
      <c r="HJ6" s="58"/>
      <c r="HK6" s="58"/>
      <c r="HL6" s="58"/>
      <c r="HM6" s="58"/>
      <c r="HN6" s="58"/>
      <c r="HO6" s="58"/>
      <c r="HP6" s="58"/>
      <c r="HQ6" s="58"/>
      <c r="HR6" s="58"/>
      <c r="HS6" s="58"/>
      <c r="HT6" s="58"/>
      <c r="HU6" s="58"/>
      <c r="HV6" s="58"/>
      <c r="HW6" s="58"/>
      <c r="HX6" s="58"/>
      <c r="HY6" s="58"/>
      <c r="HZ6" s="58"/>
      <c r="IA6" s="58"/>
      <c r="IB6" s="58"/>
      <c r="IC6" s="58"/>
      <c r="ID6" s="58"/>
      <c r="IE6" s="58"/>
      <c r="IF6" s="58"/>
      <c r="IG6" s="58"/>
      <c r="IH6" s="58"/>
      <c r="II6" s="58"/>
      <c r="IJ6" s="58"/>
      <c r="IK6" s="58"/>
      <c r="IL6" s="58"/>
      <c r="IM6" s="58"/>
      <c r="IN6" s="58"/>
      <c r="IO6" s="58"/>
      <c r="IP6" s="58"/>
      <c r="IQ6" s="58"/>
      <c r="IR6" s="58"/>
      <c r="IS6" s="58"/>
      <c r="IT6" s="58"/>
      <c r="IU6" s="58"/>
      <c r="IV6" s="58"/>
      <c r="IW6" s="58"/>
      <c r="IX6" s="58"/>
      <c r="IY6" s="58"/>
      <c r="IZ6" s="58"/>
      <c r="JA6" s="58"/>
      <c r="JB6" s="58"/>
      <c r="JC6" s="58"/>
      <c r="JD6" s="58"/>
      <c r="JE6" s="58"/>
      <c r="JF6" s="58"/>
      <c r="JG6" s="58"/>
      <c r="JH6" s="58"/>
      <c r="JI6" s="58"/>
      <c r="JJ6" s="58"/>
      <c r="JK6" s="58"/>
      <c r="JL6" s="58"/>
      <c r="JM6" s="58"/>
      <c r="JN6" s="58"/>
      <c r="JO6" s="58"/>
      <c r="JP6" s="58"/>
      <c r="JQ6" s="58"/>
      <c r="JR6" s="58"/>
      <c r="JS6" s="58"/>
      <c r="JT6" s="58"/>
      <c r="JU6" s="58"/>
      <c r="JV6" s="58"/>
      <c r="JW6" s="58"/>
      <c r="JX6" s="58"/>
      <c r="JY6" s="58"/>
      <c r="JZ6" s="58"/>
      <c r="KA6" s="58"/>
      <c r="KB6" s="58"/>
      <c r="KC6" s="58"/>
      <c r="KD6" s="58"/>
      <c r="KE6" s="58"/>
    </row>
    <row r="11" spans="1:322" x14ac:dyDescent="0.2">
      <c r="KC11" s="2">
        <f>AVERAGE([1]ln_M!MI64:MT64)</f>
        <v>130.55867994404443</v>
      </c>
      <c r="KO11" s="2"/>
    </row>
    <row r="12" spans="1:322" x14ac:dyDescent="0.2">
      <c r="A12" s="55"/>
      <c r="B12" s="55"/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BF26A-E497-42D8-B4B3-E79E265A2735}">
  <dimension ref="A1:AM100"/>
  <sheetViews>
    <sheetView topLeftCell="A92" workbookViewId="0">
      <selection activeCell="C110" sqref="C110"/>
    </sheetView>
  </sheetViews>
  <sheetFormatPr defaultColWidth="9.42578125" defaultRowHeight="12.75" x14ac:dyDescent="0.2"/>
  <cols>
    <col min="2" max="2" width="9.42578125" style="2"/>
    <col min="3" max="3" width="12" customWidth="1"/>
    <col min="4" max="4" width="12.28515625" customWidth="1"/>
    <col min="5" max="5" width="11.28515625" customWidth="1"/>
    <col min="6" max="6" width="12.7109375" customWidth="1"/>
    <col min="7" max="7" width="7" style="67" customWidth="1"/>
  </cols>
  <sheetData>
    <row r="1" spans="1:39" x14ac:dyDescent="0.2">
      <c r="A1" t="s">
        <v>66</v>
      </c>
      <c r="C1" t="s">
        <v>434</v>
      </c>
    </row>
    <row r="2" spans="1:39" x14ac:dyDescent="0.2">
      <c r="A2" t="s">
        <v>68</v>
      </c>
      <c r="C2" t="s">
        <v>435</v>
      </c>
    </row>
    <row r="3" spans="1:39" x14ac:dyDescent="0.2">
      <c r="A3" t="s">
        <v>70</v>
      </c>
      <c r="C3" t="s">
        <v>436</v>
      </c>
    </row>
    <row r="4" spans="1:39" x14ac:dyDescent="0.2">
      <c r="A4" t="s">
        <v>72</v>
      </c>
      <c r="C4" t="s">
        <v>437</v>
      </c>
    </row>
    <row r="5" spans="1:39" x14ac:dyDescent="0.2">
      <c r="A5" t="s">
        <v>74</v>
      </c>
      <c r="C5" t="s">
        <v>75</v>
      </c>
    </row>
    <row r="6" spans="1:39" x14ac:dyDescent="0.2">
      <c r="A6" t="s">
        <v>76</v>
      </c>
      <c r="C6" t="s">
        <v>438</v>
      </c>
    </row>
    <row r="7" spans="1:39" x14ac:dyDescent="0.2">
      <c r="A7" t="s">
        <v>78</v>
      </c>
      <c r="C7" t="s">
        <v>439</v>
      </c>
    </row>
    <row r="8" spans="1:39" x14ac:dyDescent="0.2">
      <c r="A8" t="s">
        <v>440</v>
      </c>
    </row>
    <row r="11" spans="1:39" x14ac:dyDescent="0.2">
      <c r="A11" s="69"/>
      <c r="B11" s="70"/>
      <c r="C11" s="71" t="s">
        <v>441</v>
      </c>
      <c r="D11" s="71"/>
      <c r="E11" s="69"/>
      <c r="F11" s="69"/>
      <c r="H11" t="s">
        <v>442</v>
      </c>
      <c r="L11" t="s">
        <v>443</v>
      </c>
      <c r="P11" t="s">
        <v>444</v>
      </c>
      <c r="T11" t="s">
        <v>445</v>
      </c>
      <c r="X11" t="s">
        <v>446</v>
      </c>
      <c r="AB11" t="s">
        <v>447</v>
      </c>
      <c r="AF11" t="s">
        <v>448</v>
      </c>
      <c r="AJ11" t="s">
        <v>449</v>
      </c>
    </row>
    <row r="12" spans="1:39" x14ac:dyDescent="0.2">
      <c r="A12" s="6" t="s">
        <v>81</v>
      </c>
      <c r="B12" s="66" t="s">
        <v>454</v>
      </c>
      <c r="C12" s="6" t="s">
        <v>450</v>
      </c>
      <c r="D12" s="6" t="s">
        <v>451</v>
      </c>
      <c r="E12" s="6" t="s">
        <v>452</v>
      </c>
      <c r="F12" s="6" t="s">
        <v>453</v>
      </c>
      <c r="G12" s="68"/>
      <c r="H12" t="s">
        <v>450</v>
      </c>
      <c r="I12" t="s">
        <v>451</v>
      </c>
      <c r="J12" t="s">
        <v>452</v>
      </c>
      <c r="K12" t="s">
        <v>453</v>
      </c>
      <c r="L12" t="s">
        <v>450</v>
      </c>
      <c r="M12" t="s">
        <v>451</v>
      </c>
      <c r="N12" t="s">
        <v>452</v>
      </c>
      <c r="O12" t="s">
        <v>453</v>
      </c>
      <c r="P12" t="s">
        <v>450</v>
      </c>
      <c r="Q12" t="s">
        <v>451</v>
      </c>
      <c r="R12" t="s">
        <v>452</v>
      </c>
      <c r="S12" t="s">
        <v>453</v>
      </c>
      <c r="T12" t="s">
        <v>450</v>
      </c>
      <c r="U12" t="s">
        <v>451</v>
      </c>
      <c r="V12" t="s">
        <v>452</v>
      </c>
      <c r="W12" t="s">
        <v>453</v>
      </c>
      <c r="X12" t="s">
        <v>450</v>
      </c>
      <c r="Y12" t="s">
        <v>451</v>
      </c>
      <c r="Z12" t="s">
        <v>452</v>
      </c>
      <c r="AA12" t="s">
        <v>453</v>
      </c>
      <c r="AB12" t="s">
        <v>450</v>
      </c>
      <c r="AC12" t="s">
        <v>451</v>
      </c>
      <c r="AD12" t="s">
        <v>452</v>
      </c>
      <c r="AE12" t="s">
        <v>453</v>
      </c>
      <c r="AF12" t="s">
        <v>450</v>
      </c>
      <c r="AG12" t="s">
        <v>451</v>
      </c>
      <c r="AH12" t="s">
        <v>452</v>
      </c>
      <c r="AI12" t="s">
        <v>453</v>
      </c>
      <c r="AJ12" t="s">
        <v>450</v>
      </c>
      <c r="AK12" t="s">
        <v>451</v>
      </c>
      <c r="AL12" t="s">
        <v>452</v>
      </c>
      <c r="AM12" t="s">
        <v>453</v>
      </c>
    </row>
    <row r="13" spans="1:39" x14ac:dyDescent="0.2">
      <c r="A13" s="65">
        <v>42035</v>
      </c>
      <c r="B13" s="2">
        <f>F13/1000</f>
        <v>31.592071000000001</v>
      </c>
      <c r="C13">
        <v>24120.457999999999</v>
      </c>
      <c r="D13">
        <v>5204.741</v>
      </c>
      <c r="E13">
        <v>2266.8719999999998</v>
      </c>
      <c r="F13">
        <v>31592.071</v>
      </c>
      <c r="H13">
        <v>943.91899999999998</v>
      </c>
      <c r="I13">
        <v>233.8</v>
      </c>
      <c r="J13">
        <v>7.8070000000000004</v>
      </c>
      <c r="K13">
        <v>1185.5260000000001</v>
      </c>
      <c r="L13">
        <v>9606.4470000000001</v>
      </c>
      <c r="M13">
        <v>7613.6809999999996</v>
      </c>
      <c r="N13">
        <v>29507.894</v>
      </c>
      <c r="O13">
        <v>46728.021999999997</v>
      </c>
      <c r="P13">
        <v>20491.251</v>
      </c>
      <c r="Q13">
        <v>4331.1940000000004</v>
      </c>
      <c r="R13">
        <v>10665.922</v>
      </c>
      <c r="S13">
        <v>35488.366999999998</v>
      </c>
      <c r="T13">
        <v>67898.323000000004</v>
      </c>
      <c r="U13">
        <v>39895.275999999998</v>
      </c>
      <c r="V13">
        <v>30855.901999999998</v>
      </c>
      <c r="W13">
        <v>138649.50099999999</v>
      </c>
      <c r="X13">
        <v>21825.952000000001</v>
      </c>
      <c r="Y13">
        <v>171797.799</v>
      </c>
      <c r="Z13">
        <v>34300.845999999998</v>
      </c>
      <c r="AA13">
        <v>227924.59699999998</v>
      </c>
      <c r="AB13">
        <v>6790.8209999999999</v>
      </c>
      <c r="AC13">
        <v>8206.61</v>
      </c>
      <c r="AD13">
        <v>1268.885</v>
      </c>
      <c r="AE13">
        <v>16266.316000000001</v>
      </c>
      <c r="AF13">
        <v>2159.8209999999999</v>
      </c>
      <c r="AG13">
        <v>14026.981</v>
      </c>
      <c r="AH13">
        <v>12526.394</v>
      </c>
      <c r="AI13">
        <v>28713.196</v>
      </c>
      <c r="AJ13">
        <v>153836.992</v>
      </c>
      <c r="AK13">
        <v>251310.08199999999</v>
      </c>
      <c r="AL13">
        <v>121400.52199999998</v>
      </c>
      <c r="AM13">
        <v>526547.59600000002</v>
      </c>
    </row>
    <row r="14" spans="1:39" x14ac:dyDescent="0.2">
      <c r="A14" s="65">
        <v>42063</v>
      </c>
      <c r="B14" s="2">
        <f t="shared" ref="B14:B77" si="0">F14/1000</f>
        <v>31.890278000000002</v>
      </c>
      <c r="C14">
        <v>25267.614000000001</v>
      </c>
      <c r="D14">
        <v>4807.1180000000004</v>
      </c>
      <c r="E14">
        <v>1815.546</v>
      </c>
      <c r="F14">
        <v>31890.278000000002</v>
      </c>
      <c r="H14">
        <v>1095.2529999999999</v>
      </c>
      <c r="I14">
        <v>230.36500000000001</v>
      </c>
      <c r="J14">
        <v>6.4020000000000001</v>
      </c>
      <c r="K14">
        <v>1332.02</v>
      </c>
      <c r="L14">
        <v>12939.319</v>
      </c>
      <c r="M14">
        <v>5318.9409999999998</v>
      </c>
      <c r="N14">
        <v>24647.512999999999</v>
      </c>
      <c r="O14">
        <v>42905.773000000001</v>
      </c>
      <c r="P14">
        <v>20671.030999999999</v>
      </c>
      <c r="Q14">
        <v>4565.5110000000004</v>
      </c>
      <c r="R14">
        <v>15637.397999999999</v>
      </c>
      <c r="S14">
        <v>40873.94</v>
      </c>
      <c r="T14">
        <v>68402.717999999993</v>
      </c>
      <c r="U14">
        <v>42082.690999999999</v>
      </c>
      <c r="V14">
        <v>32731.081999999999</v>
      </c>
      <c r="W14">
        <v>143216.49099999998</v>
      </c>
      <c r="X14">
        <v>23415.412</v>
      </c>
      <c r="Y14">
        <v>174960.22500000001</v>
      </c>
      <c r="Z14">
        <v>33959.735000000001</v>
      </c>
      <c r="AA14">
        <v>232335.37200000003</v>
      </c>
      <c r="AB14">
        <v>6911.9709999999995</v>
      </c>
      <c r="AC14">
        <v>8184.82</v>
      </c>
      <c r="AD14">
        <v>1334.6220000000001</v>
      </c>
      <c r="AE14">
        <v>16431.413</v>
      </c>
      <c r="AF14">
        <v>2123.9389999999999</v>
      </c>
      <c r="AG14">
        <v>14108.798000000001</v>
      </c>
      <c r="AH14">
        <v>12801.08</v>
      </c>
      <c r="AI14">
        <v>29033.817000000003</v>
      </c>
      <c r="AJ14">
        <v>160827.25700000001</v>
      </c>
      <c r="AK14">
        <v>254258.46900000001</v>
      </c>
      <c r="AL14">
        <v>122933.378</v>
      </c>
      <c r="AM14">
        <v>538019.10400000005</v>
      </c>
    </row>
    <row r="15" spans="1:39" x14ac:dyDescent="0.2">
      <c r="A15" s="65">
        <v>42094</v>
      </c>
      <c r="B15" s="2">
        <f t="shared" si="0"/>
        <v>29.976701000000002</v>
      </c>
      <c r="C15">
        <v>23320.444</v>
      </c>
      <c r="D15">
        <v>4305.5069999999996</v>
      </c>
      <c r="E15">
        <v>2350.75</v>
      </c>
      <c r="F15">
        <v>29976.701000000001</v>
      </c>
      <c r="H15">
        <v>992.90499999999997</v>
      </c>
      <c r="I15">
        <v>215.20400000000001</v>
      </c>
      <c r="J15">
        <v>6.3689999999999998</v>
      </c>
      <c r="K15">
        <v>1214.4779999999998</v>
      </c>
      <c r="L15">
        <v>8484.4770000000008</v>
      </c>
      <c r="M15">
        <v>5790.2470000000003</v>
      </c>
      <c r="N15">
        <v>23307.705999999998</v>
      </c>
      <c r="O15">
        <v>37582.43</v>
      </c>
      <c r="P15">
        <v>18220.555</v>
      </c>
      <c r="Q15">
        <v>4789.1620000000003</v>
      </c>
      <c r="R15">
        <v>10215.804</v>
      </c>
      <c r="S15">
        <v>33225.521000000001</v>
      </c>
      <c r="T15">
        <v>67648.516000000003</v>
      </c>
      <c r="U15">
        <v>41552.478000000003</v>
      </c>
      <c r="V15">
        <v>31496.151000000002</v>
      </c>
      <c r="W15">
        <v>140697.14500000002</v>
      </c>
      <c r="X15">
        <v>23007.428</v>
      </c>
      <c r="Y15">
        <v>170956.94699999999</v>
      </c>
      <c r="Z15">
        <v>33931.394</v>
      </c>
      <c r="AA15">
        <v>227895.769</v>
      </c>
      <c r="AB15">
        <v>6799.8050000000003</v>
      </c>
      <c r="AC15">
        <v>8313.5509999999995</v>
      </c>
      <c r="AD15">
        <v>1393.21</v>
      </c>
      <c r="AE15">
        <v>16506.565999999999</v>
      </c>
      <c r="AF15">
        <v>1856.7750000000001</v>
      </c>
      <c r="AG15">
        <v>14272.040999999999</v>
      </c>
      <c r="AH15">
        <v>12477.862999999999</v>
      </c>
      <c r="AI15">
        <v>28606.678999999996</v>
      </c>
      <c r="AJ15">
        <v>150330.905</v>
      </c>
      <c r="AK15">
        <v>250195.13699999999</v>
      </c>
      <c r="AL15">
        <v>115179.247</v>
      </c>
      <c r="AM15">
        <v>515705.28899999999</v>
      </c>
    </row>
    <row r="16" spans="1:39" x14ac:dyDescent="0.2">
      <c r="A16" s="65">
        <v>42124</v>
      </c>
      <c r="B16" s="2">
        <f t="shared" si="0"/>
        <v>29.459216999999995</v>
      </c>
      <c r="C16">
        <v>22608.657999999999</v>
      </c>
      <c r="D16">
        <v>4619.8339999999998</v>
      </c>
      <c r="E16">
        <v>2230.7249999999999</v>
      </c>
      <c r="F16">
        <v>29459.216999999997</v>
      </c>
      <c r="H16">
        <v>1342.741</v>
      </c>
      <c r="I16">
        <v>201.73</v>
      </c>
      <c r="J16">
        <v>6.4</v>
      </c>
      <c r="K16">
        <v>1550.8710000000001</v>
      </c>
      <c r="L16">
        <v>6841.97</v>
      </c>
      <c r="M16">
        <v>5741.5379999999996</v>
      </c>
      <c r="N16">
        <v>27792.109</v>
      </c>
      <c r="O16">
        <v>40375.616999999998</v>
      </c>
      <c r="P16">
        <v>19484.885999999999</v>
      </c>
      <c r="Q16">
        <v>5174.2470000000003</v>
      </c>
      <c r="R16">
        <v>13767.89</v>
      </c>
      <c r="S16">
        <v>38427.023000000001</v>
      </c>
      <c r="T16">
        <v>69730.225999999995</v>
      </c>
      <c r="U16">
        <v>42199.334999999999</v>
      </c>
      <c r="V16">
        <v>34290.362999999998</v>
      </c>
      <c r="W16">
        <v>146219.924</v>
      </c>
      <c r="X16">
        <v>23826.942999999999</v>
      </c>
      <c r="Y16">
        <v>173070.255</v>
      </c>
      <c r="Z16">
        <v>34251.127</v>
      </c>
      <c r="AA16">
        <v>231148.32500000001</v>
      </c>
      <c r="AB16">
        <v>7450.902</v>
      </c>
      <c r="AC16">
        <v>8547.9989999999998</v>
      </c>
      <c r="AD16">
        <v>1485.0540000000001</v>
      </c>
      <c r="AE16">
        <v>17483.955000000002</v>
      </c>
      <c r="AF16">
        <v>1922.8679999999999</v>
      </c>
      <c r="AG16">
        <v>15040.821</v>
      </c>
      <c r="AH16">
        <v>12752.245000000001</v>
      </c>
      <c r="AI16">
        <v>29715.934000000001</v>
      </c>
      <c r="AJ16">
        <v>153209.19399999999</v>
      </c>
      <c r="AK16">
        <v>254595.75900000002</v>
      </c>
      <c r="AL16">
        <v>126575.913</v>
      </c>
      <c r="AM16">
        <v>534380.86599999992</v>
      </c>
    </row>
    <row r="17" spans="1:39" x14ac:dyDescent="0.2">
      <c r="A17" s="65">
        <v>42155</v>
      </c>
      <c r="B17" s="2">
        <f t="shared" si="0"/>
        <v>31.062846</v>
      </c>
      <c r="C17">
        <v>24317.519</v>
      </c>
      <c r="D17">
        <v>4338.3980000000001</v>
      </c>
      <c r="E17">
        <v>2406.9290000000001</v>
      </c>
      <c r="F17">
        <v>31062.846000000001</v>
      </c>
      <c r="H17">
        <v>1254.6110000000001</v>
      </c>
      <c r="I17">
        <v>302.774</v>
      </c>
      <c r="J17">
        <v>6.4290000000000003</v>
      </c>
      <c r="K17">
        <v>1563.8140000000003</v>
      </c>
      <c r="L17">
        <v>8203.5519999999997</v>
      </c>
      <c r="M17">
        <v>8248.2389999999996</v>
      </c>
      <c r="N17">
        <v>27139.010999999999</v>
      </c>
      <c r="O17">
        <v>43590.801999999996</v>
      </c>
      <c r="P17">
        <v>18346.404999999999</v>
      </c>
      <c r="Q17">
        <v>4971.8379999999997</v>
      </c>
      <c r="R17">
        <v>13417.576999999999</v>
      </c>
      <c r="S17">
        <v>36735.82</v>
      </c>
      <c r="T17">
        <v>69187.144</v>
      </c>
      <c r="U17">
        <v>39239.826999999997</v>
      </c>
      <c r="V17">
        <v>34152.26</v>
      </c>
      <c r="W17">
        <v>142579.231</v>
      </c>
      <c r="X17">
        <v>24494.761999999999</v>
      </c>
      <c r="Y17">
        <v>173579.557</v>
      </c>
      <c r="Z17">
        <v>34638.945</v>
      </c>
      <c r="AA17">
        <v>232713.264</v>
      </c>
      <c r="AB17">
        <v>7646.6670000000004</v>
      </c>
      <c r="AC17">
        <v>8614.1110000000008</v>
      </c>
      <c r="AD17">
        <v>1590.7170000000001</v>
      </c>
      <c r="AE17">
        <v>17851.495000000003</v>
      </c>
      <c r="AF17">
        <v>1877.8209999999999</v>
      </c>
      <c r="AG17">
        <v>15107.762000000001</v>
      </c>
      <c r="AH17">
        <v>12524.878000000001</v>
      </c>
      <c r="AI17">
        <v>29510.460999999999</v>
      </c>
      <c r="AJ17">
        <v>155328.48099999997</v>
      </c>
      <c r="AK17">
        <v>254402.50599999999</v>
      </c>
      <c r="AL17">
        <v>125876.74600000001</v>
      </c>
      <c r="AM17">
        <v>535607.73300000001</v>
      </c>
    </row>
    <row r="18" spans="1:39" x14ac:dyDescent="0.2">
      <c r="A18" s="65">
        <v>42185</v>
      </c>
      <c r="B18" s="2">
        <f t="shared" si="0"/>
        <v>33.260686</v>
      </c>
      <c r="C18">
        <v>25952.245999999999</v>
      </c>
      <c r="D18">
        <v>4839.9269999999997</v>
      </c>
      <c r="E18">
        <v>2468.5129999999999</v>
      </c>
      <c r="F18">
        <v>33260.686000000002</v>
      </c>
      <c r="H18">
        <v>1146.296</v>
      </c>
      <c r="I18">
        <v>240.84800000000001</v>
      </c>
      <c r="J18">
        <v>31.47</v>
      </c>
      <c r="K18">
        <v>1418.614</v>
      </c>
      <c r="L18">
        <v>10650.862999999999</v>
      </c>
      <c r="M18">
        <v>6756.0420000000004</v>
      </c>
      <c r="N18">
        <v>24928.286</v>
      </c>
      <c r="O18">
        <v>42335.190999999999</v>
      </c>
      <c r="P18">
        <v>20111.866000000002</v>
      </c>
      <c r="Q18">
        <v>4966.6270000000004</v>
      </c>
      <c r="R18">
        <v>14345.459000000001</v>
      </c>
      <c r="S18">
        <v>39423.952000000005</v>
      </c>
      <c r="T18">
        <v>72265.067999999999</v>
      </c>
      <c r="U18">
        <v>42562.858999999997</v>
      </c>
      <c r="V18">
        <v>33786.457999999999</v>
      </c>
      <c r="W18">
        <v>148614.38500000001</v>
      </c>
      <c r="X18">
        <v>25069.83</v>
      </c>
      <c r="Y18">
        <v>174475.38099999999</v>
      </c>
      <c r="Z18">
        <v>34689.660000000003</v>
      </c>
      <c r="AA18">
        <v>234234.87100000001</v>
      </c>
      <c r="AB18">
        <v>7033.192</v>
      </c>
      <c r="AC18">
        <v>8524.9869999999992</v>
      </c>
      <c r="AD18">
        <v>1590.866</v>
      </c>
      <c r="AE18">
        <v>17149.044999999998</v>
      </c>
      <c r="AF18">
        <v>2063.8159999999998</v>
      </c>
      <c r="AG18">
        <v>14572.464</v>
      </c>
      <c r="AH18">
        <v>11307.22</v>
      </c>
      <c r="AI18">
        <v>27943.5</v>
      </c>
      <c r="AJ18">
        <v>164293.177</v>
      </c>
      <c r="AK18">
        <v>256939.13500000001</v>
      </c>
      <c r="AL18">
        <v>123147.932</v>
      </c>
      <c r="AM18">
        <v>544380.24400000006</v>
      </c>
    </row>
    <row r="19" spans="1:39" x14ac:dyDescent="0.2">
      <c r="A19" s="65">
        <v>42216</v>
      </c>
      <c r="B19" s="2">
        <f t="shared" si="0"/>
        <v>29.002722000000002</v>
      </c>
      <c r="C19">
        <v>21886.379000000001</v>
      </c>
      <c r="D19">
        <v>4403.3630000000003</v>
      </c>
      <c r="E19">
        <v>2712.98</v>
      </c>
      <c r="F19">
        <v>29002.722000000002</v>
      </c>
      <c r="H19">
        <v>1095.4390000000001</v>
      </c>
      <c r="I19">
        <v>249.82</v>
      </c>
      <c r="J19">
        <v>34.270000000000003</v>
      </c>
      <c r="K19">
        <v>1379.529</v>
      </c>
      <c r="L19">
        <v>8713.9359999999997</v>
      </c>
      <c r="M19">
        <v>7162.6840000000002</v>
      </c>
      <c r="N19">
        <v>29078.777999999998</v>
      </c>
      <c r="O19">
        <v>44955.398000000001</v>
      </c>
      <c r="P19">
        <v>19029.234</v>
      </c>
      <c r="Q19">
        <v>5176.8190000000004</v>
      </c>
      <c r="R19">
        <v>11442.579</v>
      </c>
      <c r="S19">
        <v>35648.631999999998</v>
      </c>
      <c r="T19">
        <v>73268.178</v>
      </c>
      <c r="U19">
        <v>44420.705000000002</v>
      </c>
      <c r="V19">
        <v>33259.627999999997</v>
      </c>
      <c r="W19">
        <v>150948.511</v>
      </c>
      <c r="X19">
        <v>25324.536</v>
      </c>
      <c r="Y19">
        <v>175162.58100000001</v>
      </c>
      <c r="Z19">
        <v>34865.381000000001</v>
      </c>
      <c r="AA19">
        <v>235352.49799999999</v>
      </c>
      <c r="AB19">
        <v>6858.8789999999999</v>
      </c>
      <c r="AC19">
        <v>8472.9680000000008</v>
      </c>
      <c r="AD19">
        <v>1409.895</v>
      </c>
      <c r="AE19">
        <v>16741.742000000002</v>
      </c>
      <c r="AF19">
        <v>2549.8829999999998</v>
      </c>
      <c r="AG19">
        <v>14702.181</v>
      </c>
      <c r="AH19">
        <v>11138.786</v>
      </c>
      <c r="AI19">
        <v>28390.85</v>
      </c>
      <c r="AJ19">
        <v>158726.46399999998</v>
      </c>
      <c r="AK19">
        <v>259751.12100000001</v>
      </c>
      <c r="AL19">
        <v>123942.29699999998</v>
      </c>
      <c r="AM19">
        <v>542419.88199999998</v>
      </c>
    </row>
    <row r="20" spans="1:39" x14ac:dyDescent="0.2">
      <c r="A20" s="65">
        <v>42247</v>
      </c>
      <c r="B20" s="2">
        <f t="shared" si="0"/>
        <v>35.267677999999997</v>
      </c>
      <c r="C20">
        <v>27529.545999999998</v>
      </c>
      <c r="D20">
        <v>4708.2669999999998</v>
      </c>
      <c r="E20">
        <v>3029.8649999999998</v>
      </c>
      <c r="F20">
        <v>35267.678</v>
      </c>
      <c r="H20">
        <v>1308.213</v>
      </c>
      <c r="I20">
        <v>233.14400000000001</v>
      </c>
      <c r="J20">
        <v>34.296999999999997</v>
      </c>
      <c r="K20">
        <v>1575.654</v>
      </c>
      <c r="L20">
        <v>8157.6049999999996</v>
      </c>
      <c r="M20">
        <v>8929.4159999999993</v>
      </c>
      <c r="N20">
        <v>27108.012999999999</v>
      </c>
      <c r="O20">
        <v>44195.034</v>
      </c>
      <c r="P20">
        <v>21033.499</v>
      </c>
      <c r="Q20">
        <v>5121.326</v>
      </c>
      <c r="R20">
        <v>12998.608</v>
      </c>
      <c r="S20">
        <v>39153.433000000005</v>
      </c>
      <c r="T20">
        <v>77370.130999999994</v>
      </c>
      <c r="U20">
        <v>44223.652999999998</v>
      </c>
      <c r="V20">
        <v>36723.228999999999</v>
      </c>
      <c r="W20">
        <v>158317.01299999998</v>
      </c>
      <c r="X20">
        <v>27248.986000000001</v>
      </c>
      <c r="Y20">
        <v>176648.97500000001</v>
      </c>
      <c r="Z20">
        <v>34231.478000000003</v>
      </c>
      <c r="AA20">
        <v>238129.43900000001</v>
      </c>
      <c r="AB20">
        <v>7298.268</v>
      </c>
      <c r="AC20">
        <v>8518.2890000000007</v>
      </c>
      <c r="AD20">
        <v>1317.164</v>
      </c>
      <c r="AE20">
        <v>17133.721000000001</v>
      </c>
      <c r="AF20">
        <v>2218.308</v>
      </c>
      <c r="AG20">
        <v>14994.299000000001</v>
      </c>
      <c r="AH20">
        <v>10747.698</v>
      </c>
      <c r="AI20">
        <v>27960.305</v>
      </c>
      <c r="AJ20">
        <v>172164.55600000001</v>
      </c>
      <c r="AK20">
        <v>263377.36900000001</v>
      </c>
      <c r="AL20">
        <v>126190.352</v>
      </c>
      <c r="AM20">
        <v>561732.277</v>
      </c>
    </row>
    <row r="21" spans="1:39" x14ac:dyDescent="0.2">
      <c r="A21" s="65">
        <v>42277</v>
      </c>
      <c r="B21" s="2">
        <f t="shared" si="0"/>
        <v>39.597525999999995</v>
      </c>
      <c r="C21">
        <v>31914.264999999999</v>
      </c>
      <c r="D21">
        <v>4700.076</v>
      </c>
      <c r="E21">
        <v>2983.1849999999999</v>
      </c>
      <c r="F21">
        <v>39597.525999999998</v>
      </c>
      <c r="H21">
        <v>1013.292</v>
      </c>
      <c r="I21">
        <v>237.18299999999999</v>
      </c>
      <c r="J21">
        <v>135.44800000000001</v>
      </c>
      <c r="K21">
        <v>1385.923</v>
      </c>
      <c r="L21">
        <v>8077.6139999999996</v>
      </c>
      <c r="M21">
        <v>10577.463</v>
      </c>
      <c r="N21">
        <v>27405.33</v>
      </c>
      <c r="O21">
        <v>46060.406999999999</v>
      </c>
      <c r="P21">
        <v>23143.968000000001</v>
      </c>
      <c r="Q21">
        <v>5007.652</v>
      </c>
      <c r="R21">
        <v>13066.794</v>
      </c>
      <c r="S21">
        <v>41218.414000000004</v>
      </c>
      <c r="T21">
        <v>77766.44</v>
      </c>
      <c r="U21">
        <v>47073.142999999996</v>
      </c>
      <c r="V21">
        <v>33691.091</v>
      </c>
      <c r="W21">
        <v>158530.674</v>
      </c>
      <c r="X21">
        <v>24814.328000000001</v>
      </c>
      <c r="Y21">
        <v>176602.29500000001</v>
      </c>
      <c r="Z21">
        <v>35240.489000000001</v>
      </c>
      <c r="AA21">
        <v>236657.11200000002</v>
      </c>
      <c r="AB21">
        <v>7950.5810000000001</v>
      </c>
      <c r="AC21">
        <v>8473.1779999999999</v>
      </c>
      <c r="AD21">
        <v>1349.9290000000001</v>
      </c>
      <c r="AE21">
        <v>17773.687999999998</v>
      </c>
      <c r="AF21">
        <v>2658.9490000000001</v>
      </c>
      <c r="AG21">
        <v>15537.909</v>
      </c>
      <c r="AH21">
        <v>11564.258</v>
      </c>
      <c r="AI21">
        <v>29761.116000000002</v>
      </c>
      <c r="AJ21">
        <v>177339.43700000001</v>
      </c>
      <c r="AK21">
        <v>268208.89900000003</v>
      </c>
      <c r="AL21">
        <v>125436.524</v>
      </c>
      <c r="AM21">
        <v>570984.86</v>
      </c>
    </row>
    <row r="22" spans="1:39" x14ac:dyDescent="0.2">
      <c r="A22" s="65">
        <v>42308</v>
      </c>
      <c r="B22" s="2">
        <f t="shared" si="0"/>
        <v>34.375273999999997</v>
      </c>
      <c r="C22">
        <v>27062.19</v>
      </c>
      <c r="D22">
        <v>4708.8559999999998</v>
      </c>
      <c r="E22">
        <v>2604.2280000000001</v>
      </c>
      <c r="F22">
        <v>34375.273999999998</v>
      </c>
      <c r="H22">
        <v>1019.101</v>
      </c>
      <c r="I22">
        <v>213.559</v>
      </c>
      <c r="J22">
        <v>132.29599999999999</v>
      </c>
      <c r="K22">
        <v>1364.9560000000001</v>
      </c>
      <c r="L22">
        <v>7807.777</v>
      </c>
      <c r="M22">
        <v>7257.8370000000004</v>
      </c>
      <c r="N22">
        <v>29602.838</v>
      </c>
      <c r="O22">
        <v>44668.452000000005</v>
      </c>
      <c r="P22">
        <v>21003.845000000001</v>
      </c>
      <c r="Q22">
        <v>4444.6090000000004</v>
      </c>
      <c r="R22">
        <v>13616.877</v>
      </c>
      <c r="S22">
        <v>39065.331000000006</v>
      </c>
      <c r="T22">
        <v>75074.225999999995</v>
      </c>
      <c r="U22">
        <v>49634.071000000004</v>
      </c>
      <c r="V22">
        <v>33387.288999999997</v>
      </c>
      <c r="W22">
        <v>158095.58599999998</v>
      </c>
      <c r="X22">
        <v>26879.877</v>
      </c>
      <c r="Y22">
        <v>178938.69</v>
      </c>
      <c r="Z22">
        <v>36077.129999999997</v>
      </c>
      <c r="AA22">
        <v>241895.69700000001</v>
      </c>
      <c r="AB22">
        <v>7600.482</v>
      </c>
      <c r="AC22">
        <v>8518.9159999999993</v>
      </c>
      <c r="AD22">
        <v>1355.259</v>
      </c>
      <c r="AE22">
        <v>17474.656999999999</v>
      </c>
      <c r="AF22">
        <v>2492.4430000000002</v>
      </c>
      <c r="AG22">
        <v>15315.035</v>
      </c>
      <c r="AH22">
        <v>11506.537</v>
      </c>
      <c r="AI22">
        <v>29314.014999999999</v>
      </c>
      <c r="AJ22">
        <v>168939.94099999999</v>
      </c>
      <c r="AK22">
        <v>269031.57300000003</v>
      </c>
      <c r="AL22">
        <v>128282.454</v>
      </c>
      <c r="AM22">
        <v>566253.96799999999</v>
      </c>
    </row>
    <row r="23" spans="1:39" x14ac:dyDescent="0.2">
      <c r="A23" s="65">
        <v>42338</v>
      </c>
      <c r="B23" s="2">
        <f t="shared" si="0"/>
        <v>33.117462999999994</v>
      </c>
      <c r="C23">
        <v>26492.355</v>
      </c>
      <c r="D23">
        <v>4442.0249999999996</v>
      </c>
      <c r="E23">
        <v>2183.0830000000001</v>
      </c>
      <c r="F23">
        <v>33117.462999999996</v>
      </c>
      <c r="H23">
        <v>1249.4380000000001</v>
      </c>
      <c r="I23">
        <v>205.589</v>
      </c>
      <c r="J23">
        <v>131.833</v>
      </c>
      <c r="K23">
        <v>1586.8600000000001</v>
      </c>
      <c r="L23">
        <v>8862.8379999999997</v>
      </c>
      <c r="M23">
        <v>6789.5219999999999</v>
      </c>
      <c r="N23">
        <v>28139.321</v>
      </c>
      <c r="O23">
        <v>43791.680999999997</v>
      </c>
      <c r="P23">
        <v>23477.451000000001</v>
      </c>
      <c r="Q23">
        <v>5417.0889999999999</v>
      </c>
      <c r="R23">
        <v>13230.583000000001</v>
      </c>
      <c r="S23">
        <v>42125.123</v>
      </c>
      <c r="T23">
        <v>83230.63</v>
      </c>
      <c r="U23">
        <v>51358.773000000001</v>
      </c>
      <c r="V23">
        <v>36193.947</v>
      </c>
      <c r="W23">
        <v>170783.34999999998</v>
      </c>
      <c r="X23">
        <v>30712.26</v>
      </c>
      <c r="Y23">
        <v>180994.15</v>
      </c>
      <c r="Z23">
        <v>36231.093999999997</v>
      </c>
      <c r="AA23">
        <v>247937.50400000002</v>
      </c>
      <c r="AB23">
        <v>7752.1509999999998</v>
      </c>
      <c r="AC23">
        <v>8531.3330000000005</v>
      </c>
      <c r="AD23">
        <v>1443.424</v>
      </c>
      <c r="AE23">
        <v>17726.907999999999</v>
      </c>
      <c r="AF23">
        <v>2362.3209999999999</v>
      </c>
      <c r="AG23">
        <v>14937.657999999999</v>
      </c>
      <c r="AH23">
        <v>12312.45</v>
      </c>
      <c r="AI23">
        <v>29612.429</v>
      </c>
      <c r="AJ23">
        <v>184139.44400000002</v>
      </c>
      <c r="AK23">
        <v>272676.13899999997</v>
      </c>
      <c r="AL23">
        <v>129865.73499999999</v>
      </c>
      <c r="AM23">
        <v>586681.31799999997</v>
      </c>
    </row>
    <row r="24" spans="1:39" x14ac:dyDescent="0.2">
      <c r="A24" s="65">
        <v>42369</v>
      </c>
      <c r="B24" s="2">
        <f t="shared" si="0"/>
        <v>30.378047000000002</v>
      </c>
      <c r="C24">
        <v>23734.912</v>
      </c>
      <c r="D24">
        <v>4551.4709999999995</v>
      </c>
      <c r="E24">
        <v>2091.6640000000002</v>
      </c>
      <c r="F24">
        <v>30378.047000000002</v>
      </c>
      <c r="H24">
        <v>773.06200000000001</v>
      </c>
      <c r="I24">
        <v>159.19399999999999</v>
      </c>
      <c r="J24">
        <v>132.047</v>
      </c>
      <c r="K24">
        <v>1064.3029999999999</v>
      </c>
      <c r="L24">
        <v>9842.2099999999991</v>
      </c>
      <c r="M24">
        <v>4994.2349999999997</v>
      </c>
      <c r="N24">
        <v>30360.923999999999</v>
      </c>
      <c r="O24">
        <v>45197.368999999999</v>
      </c>
      <c r="P24">
        <v>21916.756000000001</v>
      </c>
      <c r="Q24">
        <v>4387.9989999999998</v>
      </c>
      <c r="R24">
        <v>12848.144</v>
      </c>
      <c r="S24">
        <v>39152.899000000005</v>
      </c>
      <c r="T24">
        <v>82515.539000000004</v>
      </c>
      <c r="U24">
        <v>51998.141000000003</v>
      </c>
      <c r="V24">
        <v>36186.911</v>
      </c>
      <c r="W24">
        <v>170700.59099999999</v>
      </c>
      <c r="X24">
        <v>31822.780999999999</v>
      </c>
      <c r="Y24">
        <v>186218.51500000001</v>
      </c>
      <c r="Z24">
        <v>36507.474000000002</v>
      </c>
      <c r="AA24">
        <v>254548.77000000002</v>
      </c>
      <c r="AB24">
        <v>7542.8109999999997</v>
      </c>
      <c r="AC24">
        <v>8665.0290000000005</v>
      </c>
      <c r="AD24">
        <v>1351.43</v>
      </c>
      <c r="AE24">
        <v>17559.27</v>
      </c>
      <c r="AF24">
        <v>2325.105</v>
      </c>
      <c r="AG24">
        <v>15159.567999999999</v>
      </c>
      <c r="AH24">
        <v>11703.712</v>
      </c>
      <c r="AI24">
        <v>29188.384999999998</v>
      </c>
      <c r="AJ24">
        <v>180473.17599999998</v>
      </c>
      <c r="AK24">
        <v>276134.152</v>
      </c>
      <c r="AL24">
        <v>131182.30600000001</v>
      </c>
      <c r="AM24">
        <v>587789.63399999996</v>
      </c>
    </row>
    <row r="25" spans="1:39" x14ac:dyDescent="0.2">
      <c r="A25" s="65">
        <v>42400</v>
      </c>
      <c r="B25" s="2">
        <f t="shared" si="0"/>
        <v>35.200741000000001</v>
      </c>
      <c r="C25">
        <v>28401.181</v>
      </c>
      <c r="D25">
        <v>4516.3779999999997</v>
      </c>
      <c r="E25">
        <v>2283.1819999999998</v>
      </c>
      <c r="F25">
        <v>35200.741000000002</v>
      </c>
      <c r="H25">
        <v>1082.2370000000001</v>
      </c>
      <c r="I25">
        <v>197.17599999999999</v>
      </c>
      <c r="J25">
        <v>121.434</v>
      </c>
      <c r="K25">
        <v>1400.847</v>
      </c>
      <c r="L25">
        <v>14582.699000000001</v>
      </c>
      <c r="M25">
        <v>6406.8670000000002</v>
      </c>
      <c r="N25">
        <v>28228.159</v>
      </c>
      <c r="O25">
        <v>49217.724999999999</v>
      </c>
      <c r="P25">
        <v>22363.059000000001</v>
      </c>
      <c r="Q25">
        <v>4789.085</v>
      </c>
      <c r="R25">
        <v>12508.130999999999</v>
      </c>
      <c r="S25">
        <v>39660.275000000001</v>
      </c>
      <c r="T25">
        <v>81352.293000000005</v>
      </c>
      <c r="U25">
        <v>55903.027999999998</v>
      </c>
      <c r="V25">
        <v>36109.277999999998</v>
      </c>
      <c r="W25">
        <v>173364.59899999999</v>
      </c>
      <c r="X25">
        <v>30238.767</v>
      </c>
      <c r="Y25">
        <v>189181.81700000001</v>
      </c>
      <c r="Z25">
        <v>36676.703000000001</v>
      </c>
      <c r="AA25">
        <v>256097.28700000001</v>
      </c>
      <c r="AB25">
        <v>8294.5</v>
      </c>
      <c r="AC25">
        <v>8980.3389999999999</v>
      </c>
      <c r="AD25">
        <v>1316.2329999999999</v>
      </c>
      <c r="AE25">
        <v>18591.072</v>
      </c>
      <c r="AF25">
        <v>2242.2979999999998</v>
      </c>
      <c r="AG25">
        <v>15667.355</v>
      </c>
      <c r="AH25">
        <v>10566.058999999999</v>
      </c>
      <c r="AI25">
        <v>28475.712</v>
      </c>
      <c r="AJ25">
        <v>188557.03400000001</v>
      </c>
      <c r="AK25">
        <v>285642.04499999998</v>
      </c>
      <c r="AL25">
        <v>127809.179</v>
      </c>
      <c r="AM25">
        <v>602008.25800000003</v>
      </c>
    </row>
    <row r="26" spans="1:39" x14ac:dyDescent="0.2">
      <c r="A26" s="65">
        <v>42429</v>
      </c>
      <c r="B26" s="2">
        <f t="shared" si="0"/>
        <v>36.876995000000001</v>
      </c>
      <c r="C26">
        <v>29714.226999999999</v>
      </c>
      <c r="D26">
        <v>4841.54</v>
      </c>
      <c r="E26">
        <v>2321.2280000000001</v>
      </c>
      <c r="F26">
        <v>36876.995000000003</v>
      </c>
      <c r="H26">
        <v>1151.74</v>
      </c>
      <c r="I26">
        <v>199.43</v>
      </c>
      <c r="J26">
        <v>122</v>
      </c>
      <c r="K26">
        <v>1473.17</v>
      </c>
      <c r="L26">
        <v>7810.4290000000001</v>
      </c>
      <c r="M26">
        <v>7974.08</v>
      </c>
      <c r="N26">
        <v>28177.272000000001</v>
      </c>
      <c r="O26">
        <v>43961.781000000003</v>
      </c>
      <c r="P26">
        <v>24954.036</v>
      </c>
      <c r="Q26">
        <v>5638.5129999999999</v>
      </c>
      <c r="R26">
        <v>14375.975</v>
      </c>
      <c r="S26">
        <v>44968.523999999998</v>
      </c>
      <c r="T26">
        <v>82942.854999999996</v>
      </c>
      <c r="U26">
        <v>60238.171999999999</v>
      </c>
      <c r="V26">
        <v>39260.194000000003</v>
      </c>
      <c r="W26">
        <v>182441.22100000002</v>
      </c>
      <c r="X26">
        <v>30686.038</v>
      </c>
      <c r="Y26">
        <v>192528.035</v>
      </c>
      <c r="Z26">
        <v>36459.724000000002</v>
      </c>
      <c r="AA26">
        <v>259673.79700000002</v>
      </c>
      <c r="AB26">
        <v>8238.6029999999992</v>
      </c>
      <c r="AC26">
        <v>8676.5239999999994</v>
      </c>
      <c r="AD26">
        <v>1559.913</v>
      </c>
      <c r="AE26">
        <v>18475.04</v>
      </c>
      <c r="AF26">
        <v>2421.2710000000002</v>
      </c>
      <c r="AG26">
        <v>15845.758</v>
      </c>
      <c r="AH26">
        <v>11113.772999999999</v>
      </c>
      <c r="AI26">
        <v>29380.801999999996</v>
      </c>
      <c r="AJ26">
        <v>187919.19900000002</v>
      </c>
      <c r="AK26">
        <v>295942.05199999997</v>
      </c>
      <c r="AL26">
        <v>133390.079</v>
      </c>
      <c r="AM26">
        <v>617251.32999999996</v>
      </c>
    </row>
    <row r="27" spans="1:39" x14ac:dyDescent="0.2">
      <c r="A27" s="65">
        <v>42460</v>
      </c>
      <c r="B27" s="2">
        <f t="shared" si="0"/>
        <v>35.952553999999999</v>
      </c>
      <c r="C27">
        <v>29690.855</v>
      </c>
      <c r="D27">
        <v>4208.5609999999997</v>
      </c>
      <c r="E27">
        <v>2053.1379999999999</v>
      </c>
      <c r="F27">
        <v>35952.553999999996</v>
      </c>
      <c r="H27">
        <v>1217.566</v>
      </c>
      <c r="I27">
        <v>185.80500000000001</v>
      </c>
      <c r="J27">
        <v>157.99100000000001</v>
      </c>
      <c r="K27">
        <v>1561.3620000000001</v>
      </c>
      <c r="L27">
        <v>9990.7929999999997</v>
      </c>
      <c r="M27">
        <v>7353.5349999999999</v>
      </c>
      <c r="N27">
        <v>27160.972000000002</v>
      </c>
      <c r="O27">
        <v>44505.3</v>
      </c>
      <c r="P27">
        <v>24025.117999999999</v>
      </c>
      <c r="Q27">
        <v>5068.4309999999996</v>
      </c>
      <c r="R27">
        <v>13503.388999999999</v>
      </c>
      <c r="S27">
        <v>42596.937999999995</v>
      </c>
      <c r="T27">
        <v>82815.620999999999</v>
      </c>
      <c r="U27">
        <v>61583.205000000002</v>
      </c>
      <c r="V27">
        <v>36817.892999999996</v>
      </c>
      <c r="W27">
        <v>181216.71899999998</v>
      </c>
      <c r="X27">
        <v>18067.084999999999</v>
      </c>
      <c r="Y27">
        <v>204165.51</v>
      </c>
      <c r="Z27">
        <v>36864.911</v>
      </c>
      <c r="AA27">
        <v>259097.50599999999</v>
      </c>
      <c r="AB27">
        <v>8526.5679999999993</v>
      </c>
      <c r="AC27">
        <v>8759.3230000000003</v>
      </c>
      <c r="AD27">
        <v>1488.7070000000001</v>
      </c>
      <c r="AE27">
        <v>18774.597999999998</v>
      </c>
      <c r="AF27">
        <v>1685.028</v>
      </c>
      <c r="AG27">
        <v>16628.129000000001</v>
      </c>
      <c r="AH27">
        <v>11531.47</v>
      </c>
      <c r="AI27">
        <v>29844.627</v>
      </c>
      <c r="AJ27">
        <v>176018.63399999996</v>
      </c>
      <c r="AK27">
        <v>307952.49900000001</v>
      </c>
      <c r="AL27">
        <v>129578.47099999999</v>
      </c>
      <c r="AM27">
        <v>613549.60399999993</v>
      </c>
    </row>
    <row r="28" spans="1:39" x14ac:dyDescent="0.2">
      <c r="A28" s="65">
        <v>42490</v>
      </c>
      <c r="B28" s="2">
        <f t="shared" si="0"/>
        <v>33.732968999999997</v>
      </c>
      <c r="C28">
        <v>27704.855</v>
      </c>
      <c r="D28">
        <v>3717.7020000000002</v>
      </c>
      <c r="E28">
        <v>2310.4119999999998</v>
      </c>
      <c r="F28">
        <v>33732.968999999997</v>
      </c>
      <c r="H28">
        <v>1109.0999999999999</v>
      </c>
      <c r="I28">
        <v>213.93600000000001</v>
      </c>
      <c r="J28">
        <v>161.38499999999999</v>
      </c>
      <c r="K28">
        <v>1484.4209999999998</v>
      </c>
      <c r="L28">
        <v>8836.5079999999998</v>
      </c>
      <c r="M28">
        <v>6433.35</v>
      </c>
      <c r="N28">
        <v>27341.621999999999</v>
      </c>
      <c r="O28">
        <v>42611.479999999996</v>
      </c>
      <c r="P28">
        <v>22948.571</v>
      </c>
      <c r="Q28">
        <v>6506.3549999999996</v>
      </c>
      <c r="R28">
        <v>12080.448</v>
      </c>
      <c r="S28">
        <v>41535.373999999996</v>
      </c>
      <c r="T28">
        <v>78750.789999999994</v>
      </c>
      <c r="U28">
        <v>59332.597000000002</v>
      </c>
      <c r="V28">
        <v>37052.567000000003</v>
      </c>
      <c r="W28">
        <v>175135.954</v>
      </c>
      <c r="X28">
        <v>19515.366000000002</v>
      </c>
      <c r="Y28">
        <v>209341.94</v>
      </c>
      <c r="Z28">
        <v>37166.908000000003</v>
      </c>
      <c r="AA28">
        <v>266024.21400000004</v>
      </c>
      <c r="AB28">
        <v>8721.65</v>
      </c>
      <c r="AC28">
        <v>9192.5969999999998</v>
      </c>
      <c r="AD28">
        <v>1601.6790000000001</v>
      </c>
      <c r="AE28">
        <v>19515.925999999999</v>
      </c>
      <c r="AF28">
        <v>1641.354</v>
      </c>
      <c r="AG28">
        <v>17157.953000000001</v>
      </c>
      <c r="AH28">
        <v>10812.85</v>
      </c>
      <c r="AI28">
        <v>29612.156999999999</v>
      </c>
      <c r="AJ28">
        <v>169228.19399999999</v>
      </c>
      <c r="AK28">
        <v>311896.43</v>
      </c>
      <c r="AL28">
        <v>128527.87100000001</v>
      </c>
      <c r="AM28">
        <v>609652.495</v>
      </c>
    </row>
    <row r="29" spans="1:39" x14ac:dyDescent="0.2">
      <c r="A29" s="65">
        <v>42521</v>
      </c>
      <c r="B29" s="2">
        <f t="shared" si="0"/>
        <v>34.262942000000002</v>
      </c>
      <c r="C29">
        <v>28188.808000000001</v>
      </c>
      <c r="D29">
        <v>3781.9070000000002</v>
      </c>
      <c r="E29">
        <v>2292.2269999999999</v>
      </c>
      <c r="F29">
        <v>34262.942000000003</v>
      </c>
      <c r="H29">
        <v>1369.5609999999999</v>
      </c>
      <c r="I29">
        <v>263.399</v>
      </c>
      <c r="J29">
        <v>160.72</v>
      </c>
      <c r="K29">
        <v>1793.68</v>
      </c>
      <c r="L29">
        <v>12118.726000000001</v>
      </c>
      <c r="M29">
        <v>7596.652</v>
      </c>
      <c r="N29">
        <v>26672.960999999999</v>
      </c>
      <c r="O29">
        <v>46388.339</v>
      </c>
      <c r="P29">
        <v>24499.411</v>
      </c>
      <c r="Q29">
        <v>10214.978999999999</v>
      </c>
      <c r="R29">
        <v>12542.546</v>
      </c>
      <c r="S29">
        <v>47256.936000000002</v>
      </c>
      <c r="T29">
        <v>82666.607999999993</v>
      </c>
      <c r="U29">
        <v>61798.148000000001</v>
      </c>
      <c r="V29">
        <v>41697.317999999999</v>
      </c>
      <c r="W29">
        <v>186162.07399999999</v>
      </c>
      <c r="X29">
        <v>18765.935000000001</v>
      </c>
      <c r="Y29">
        <v>211622.19500000001</v>
      </c>
      <c r="Z29">
        <v>37450.381999999998</v>
      </c>
      <c r="AA29">
        <v>267838.51199999999</v>
      </c>
      <c r="AB29">
        <v>8893.0859999999993</v>
      </c>
      <c r="AC29">
        <v>9513.6830000000009</v>
      </c>
      <c r="AD29">
        <v>1541.607</v>
      </c>
      <c r="AE29">
        <v>19948.376</v>
      </c>
      <c r="AF29">
        <v>1865.413</v>
      </c>
      <c r="AG29">
        <v>17225.171999999999</v>
      </c>
      <c r="AH29">
        <v>11342.001</v>
      </c>
      <c r="AI29">
        <v>30432.585999999999</v>
      </c>
      <c r="AJ29">
        <v>178367.54800000001</v>
      </c>
      <c r="AK29">
        <v>322016.13500000007</v>
      </c>
      <c r="AL29">
        <v>133699.76199999999</v>
      </c>
      <c r="AM29">
        <v>634083.44500000007</v>
      </c>
    </row>
    <row r="30" spans="1:39" x14ac:dyDescent="0.2">
      <c r="A30" s="65">
        <v>42551</v>
      </c>
      <c r="B30" s="2">
        <f t="shared" si="0"/>
        <v>39.755954999999993</v>
      </c>
      <c r="C30">
        <v>32642.517</v>
      </c>
      <c r="D30">
        <v>4554.4139999999998</v>
      </c>
      <c r="E30">
        <v>2559.0239999999999</v>
      </c>
      <c r="F30">
        <v>39755.954999999994</v>
      </c>
      <c r="H30">
        <v>1354.2550000000001</v>
      </c>
      <c r="I30">
        <v>280.197</v>
      </c>
      <c r="J30">
        <v>158.38300000000001</v>
      </c>
      <c r="K30">
        <v>1792.8350000000003</v>
      </c>
      <c r="L30">
        <v>10371.487999999999</v>
      </c>
      <c r="M30">
        <v>16878.448</v>
      </c>
      <c r="N30">
        <v>30207.135999999999</v>
      </c>
      <c r="O30">
        <v>57457.072</v>
      </c>
      <c r="P30">
        <v>23661.23</v>
      </c>
      <c r="Q30">
        <v>5645.01</v>
      </c>
      <c r="R30">
        <v>12463.925999999999</v>
      </c>
      <c r="S30">
        <v>41770.165999999997</v>
      </c>
      <c r="T30">
        <v>78067.737999999998</v>
      </c>
      <c r="U30">
        <v>64732.349000000002</v>
      </c>
      <c r="V30">
        <v>39014.307999999997</v>
      </c>
      <c r="W30">
        <v>181814.39499999999</v>
      </c>
      <c r="X30">
        <v>19209.755000000001</v>
      </c>
      <c r="Y30">
        <v>213342.04</v>
      </c>
      <c r="Z30">
        <v>37958.059000000001</v>
      </c>
      <c r="AA30">
        <v>270509.85399999999</v>
      </c>
      <c r="AB30">
        <v>8240.2450000000008</v>
      </c>
      <c r="AC30">
        <v>9316.0339999999997</v>
      </c>
      <c r="AD30">
        <v>1606.7760000000001</v>
      </c>
      <c r="AE30">
        <v>19163.055000000004</v>
      </c>
      <c r="AF30">
        <v>1675.0550000000001</v>
      </c>
      <c r="AG30">
        <v>17118.78</v>
      </c>
      <c r="AH30">
        <v>11073.057000000001</v>
      </c>
      <c r="AI30">
        <v>29866.892</v>
      </c>
      <c r="AJ30">
        <v>175222.283</v>
      </c>
      <c r="AK30">
        <v>331867.272</v>
      </c>
      <c r="AL30">
        <v>135040.66900000002</v>
      </c>
      <c r="AM30">
        <v>642130.22400000005</v>
      </c>
    </row>
    <row r="31" spans="1:39" x14ac:dyDescent="0.2">
      <c r="A31" s="65">
        <v>42582</v>
      </c>
      <c r="B31" s="2">
        <f t="shared" si="0"/>
        <v>39.359182999999994</v>
      </c>
      <c r="C31">
        <v>32408.088</v>
      </c>
      <c r="D31">
        <v>4380.09</v>
      </c>
      <c r="E31">
        <v>2571.0050000000001</v>
      </c>
      <c r="F31">
        <v>39359.182999999997</v>
      </c>
      <c r="H31">
        <v>1518.953</v>
      </c>
      <c r="I31">
        <v>286.08800000000002</v>
      </c>
      <c r="J31">
        <v>158.185</v>
      </c>
      <c r="K31">
        <v>1963.2259999999999</v>
      </c>
      <c r="L31">
        <v>11635.35</v>
      </c>
      <c r="M31">
        <v>11408.828</v>
      </c>
      <c r="N31">
        <v>29797.988000000001</v>
      </c>
      <c r="O31">
        <v>52842.165999999997</v>
      </c>
      <c r="P31">
        <v>26349.066999999999</v>
      </c>
      <c r="Q31">
        <v>5904.0379999999996</v>
      </c>
      <c r="R31">
        <v>11198.231</v>
      </c>
      <c r="S31">
        <v>43451.335999999996</v>
      </c>
      <c r="T31">
        <v>80667.395000000004</v>
      </c>
      <c r="U31">
        <v>61944.442999999999</v>
      </c>
      <c r="V31">
        <v>40326.519</v>
      </c>
      <c r="W31">
        <v>182938.35699999999</v>
      </c>
      <c r="X31">
        <v>19111.626</v>
      </c>
      <c r="Y31">
        <v>218348.774</v>
      </c>
      <c r="Z31">
        <v>37723.383000000002</v>
      </c>
      <c r="AA31">
        <v>275183.783</v>
      </c>
      <c r="AB31">
        <v>7855.0029999999997</v>
      </c>
      <c r="AC31">
        <v>9276.1970000000001</v>
      </c>
      <c r="AD31">
        <v>2908.5639999999999</v>
      </c>
      <c r="AE31">
        <v>20039.763999999999</v>
      </c>
      <c r="AF31">
        <v>2756.29</v>
      </c>
      <c r="AG31">
        <v>17447.927</v>
      </c>
      <c r="AH31">
        <v>11184.763999999999</v>
      </c>
      <c r="AI31">
        <v>31388.981</v>
      </c>
      <c r="AJ31">
        <v>182301.772</v>
      </c>
      <c r="AK31">
        <v>328996.38500000001</v>
      </c>
      <c r="AL31">
        <v>135868.63900000002</v>
      </c>
      <c r="AM31">
        <v>647166.79600000009</v>
      </c>
    </row>
    <row r="32" spans="1:39" x14ac:dyDescent="0.2">
      <c r="A32" s="65">
        <v>42613</v>
      </c>
      <c r="B32" s="2">
        <f t="shared" si="0"/>
        <v>41.051379000000004</v>
      </c>
      <c r="C32">
        <v>33541.777000000002</v>
      </c>
      <c r="D32">
        <v>4634.2569999999996</v>
      </c>
      <c r="E32">
        <v>2875.3449999999998</v>
      </c>
      <c r="F32">
        <v>41051.379000000001</v>
      </c>
      <c r="H32">
        <v>1567.5319999999999</v>
      </c>
      <c r="I32">
        <v>330.34399999999999</v>
      </c>
      <c r="J32">
        <v>158.77000000000001</v>
      </c>
      <c r="K32">
        <v>2056.6460000000002</v>
      </c>
      <c r="L32">
        <v>10832.77</v>
      </c>
      <c r="M32">
        <v>10792.107</v>
      </c>
      <c r="N32">
        <v>47925.932000000001</v>
      </c>
      <c r="O32">
        <v>69550.809000000008</v>
      </c>
      <c r="P32">
        <v>28723.131000000001</v>
      </c>
      <c r="Q32">
        <v>6516.0929999999998</v>
      </c>
      <c r="R32">
        <v>10037.838</v>
      </c>
      <c r="S32">
        <v>45277.062000000005</v>
      </c>
      <c r="T32">
        <v>83327.837</v>
      </c>
      <c r="U32">
        <v>63470.194000000003</v>
      </c>
      <c r="V32">
        <v>40924.067999999999</v>
      </c>
      <c r="W32">
        <v>187722.09900000002</v>
      </c>
      <c r="X32">
        <v>19280.850999999999</v>
      </c>
      <c r="Y32">
        <v>219086.679</v>
      </c>
      <c r="Z32">
        <v>38226.199000000001</v>
      </c>
      <c r="AA32">
        <v>276593.72899999999</v>
      </c>
      <c r="AB32">
        <v>8111.2730000000001</v>
      </c>
      <c r="AC32">
        <v>9331.8549999999996</v>
      </c>
      <c r="AD32">
        <v>2777.145</v>
      </c>
      <c r="AE32">
        <v>20220.273000000001</v>
      </c>
      <c r="AF32">
        <v>1972.59</v>
      </c>
      <c r="AG32">
        <v>17831.196</v>
      </c>
      <c r="AH32">
        <v>11415.459000000001</v>
      </c>
      <c r="AI32">
        <v>31219.245000000003</v>
      </c>
      <c r="AJ32">
        <v>187357.76099999997</v>
      </c>
      <c r="AK32">
        <v>331992.72499999998</v>
      </c>
      <c r="AL32">
        <v>154340.75599999999</v>
      </c>
      <c r="AM32">
        <v>673691.24199999985</v>
      </c>
    </row>
    <row r="33" spans="1:39" x14ac:dyDescent="0.2">
      <c r="A33" s="65">
        <v>42643</v>
      </c>
      <c r="B33" s="2">
        <f t="shared" si="0"/>
        <v>41.622654000000004</v>
      </c>
      <c r="C33">
        <v>33888.254000000001</v>
      </c>
      <c r="D33">
        <v>4831.7030000000004</v>
      </c>
      <c r="E33">
        <v>2902.6970000000001</v>
      </c>
      <c r="F33">
        <v>41622.654000000002</v>
      </c>
      <c r="H33">
        <v>1914.0989999999999</v>
      </c>
      <c r="I33">
        <v>298.298</v>
      </c>
      <c r="J33">
        <v>159.21199999999999</v>
      </c>
      <c r="K33">
        <v>2371.6089999999999</v>
      </c>
      <c r="L33">
        <v>8296.5589999999993</v>
      </c>
      <c r="M33">
        <v>11251.683999999999</v>
      </c>
      <c r="N33">
        <v>45664.148000000001</v>
      </c>
      <c r="O33">
        <v>65212.391000000003</v>
      </c>
      <c r="P33">
        <v>30639.338</v>
      </c>
      <c r="Q33">
        <v>5642.7330000000002</v>
      </c>
      <c r="R33">
        <v>10157.328</v>
      </c>
      <c r="S33">
        <v>46439.398999999998</v>
      </c>
      <c r="T33">
        <v>80203.077999999994</v>
      </c>
      <c r="U33">
        <v>62773.542999999998</v>
      </c>
      <c r="V33">
        <v>39914.296999999999</v>
      </c>
      <c r="W33">
        <v>182890.91799999998</v>
      </c>
      <c r="X33">
        <v>19070.97</v>
      </c>
      <c r="Y33">
        <v>219241.68100000001</v>
      </c>
      <c r="Z33">
        <v>38179.767</v>
      </c>
      <c r="AA33">
        <v>276492.41800000001</v>
      </c>
      <c r="AB33">
        <v>8478.8510000000006</v>
      </c>
      <c r="AC33">
        <v>9571.1080000000002</v>
      </c>
      <c r="AD33">
        <v>1434.96</v>
      </c>
      <c r="AE33">
        <v>19484.919000000002</v>
      </c>
      <c r="AF33">
        <v>1954.048</v>
      </c>
      <c r="AG33">
        <v>17937.116000000002</v>
      </c>
      <c r="AH33">
        <v>11247.317999999999</v>
      </c>
      <c r="AI33">
        <v>31138.482</v>
      </c>
      <c r="AJ33">
        <v>184445.19699999999</v>
      </c>
      <c r="AK33">
        <v>331547.86599999998</v>
      </c>
      <c r="AL33">
        <v>149659.72699999998</v>
      </c>
      <c r="AM33">
        <v>665652.78999999992</v>
      </c>
    </row>
    <row r="34" spans="1:39" x14ac:dyDescent="0.2">
      <c r="A34" s="65">
        <v>42674</v>
      </c>
      <c r="B34" s="2">
        <f t="shared" si="0"/>
        <v>38.321792000000002</v>
      </c>
      <c r="C34">
        <v>31036.952000000001</v>
      </c>
      <c r="D34">
        <v>4409.3670000000002</v>
      </c>
      <c r="E34">
        <v>2875.473</v>
      </c>
      <c r="F34">
        <v>38321.792000000001</v>
      </c>
      <c r="H34">
        <v>1801.5150000000001</v>
      </c>
      <c r="I34">
        <v>258.82900000000001</v>
      </c>
      <c r="J34">
        <v>156.05799999999999</v>
      </c>
      <c r="K34">
        <v>2216.402</v>
      </c>
      <c r="L34">
        <v>9693.8529999999992</v>
      </c>
      <c r="M34">
        <v>6482.848</v>
      </c>
      <c r="N34">
        <v>43868.502</v>
      </c>
      <c r="O34">
        <v>60045.203000000001</v>
      </c>
      <c r="P34">
        <v>25433.985000000001</v>
      </c>
      <c r="Q34">
        <v>6652.8670000000002</v>
      </c>
      <c r="R34">
        <v>10994.264999999999</v>
      </c>
      <c r="S34">
        <v>43081.116999999998</v>
      </c>
      <c r="T34">
        <v>86070.478000000003</v>
      </c>
      <c r="U34">
        <v>70599.945000000007</v>
      </c>
      <c r="V34">
        <v>37962.607000000004</v>
      </c>
      <c r="W34">
        <v>194633.03000000003</v>
      </c>
      <c r="X34">
        <v>19171.656999999999</v>
      </c>
      <c r="Y34">
        <v>219498.30499999999</v>
      </c>
      <c r="Z34">
        <v>38007.254999999997</v>
      </c>
      <c r="AA34">
        <v>276677.217</v>
      </c>
      <c r="AB34">
        <v>9094.6389999999992</v>
      </c>
      <c r="AC34">
        <v>9339.0720000000001</v>
      </c>
      <c r="AD34">
        <v>1426.492</v>
      </c>
      <c r="AE34">
        <v>19860.202999999998</v>
      </c>
      <c r="AF34">
        <v>1832.867</v>
      </c>
      <c r="AG34">
        <v>18058.850999999999</v>
      </c>
      <c r="AH34">
        <v>11474.188</v>
      </c>
      <c r="AI34">
        <v>31365.905999999995</v>
      </c>
      <c r="AJ34">
        <v>184135.946</v>
      </c>
      <c r="AK34">
        <v>335300.08399999997</v>
      </c>
      <c r="AL34">
        <v>146764.84</v>
      </c>
      <c r="AM34">
        <v>666200.87</v>
      </c>
    </row>
    <row r="35" spans="1:39" x14ac:dyDescent="0.2">
      <c r="A35" s="65">
        <v>42704</v>
      </c>
      <c r="B35" s="2">
        <f t="shared" si="0"/>
        <v>40.056632000000008</v>
      </c>
      <c r="C35">
        <v>32661.906999999999</v>
      </c>
      <c r="D35">
        <v>4470.2150000000001</v>
      </c>
      <c r="E35">
        <v>2924.51</v>
      </c>
      <c r="F35">
        <v>40056.632000000005</v>
      </c>
      <c r="H35">
        <v>1319.7660000000001</v>
      </c>
      <c r="I35">
        <v>235.119</v>
      </c>
      <c r="J35">
        <v>155.923</v>
      </c>
      <c r="K35">
        <v>1710.808</v>
      </c>
      <c r="L35">
        <v>9584.8040000000001</v>
      </c>
      <c r="M35">
        <v>6300.7349999999997</v>
      </c>
      <c r="N35">
        <v>39143.232000000004</v>
      </c>
      <c r="O35">
        <v>55028.771000000008</v>
      </c>
      <c r="P35">
        <v>29771.044999999998</v>
      </c>
      <c r="Q35">
        <v>7089.3990000000003</v>
      </c>
      <c r="R35">
        <v>10046.458000000001</v>
      </c>
      <c r="S35">
        <v>46906.901999999995</v>
      </c>
      <c r="T35">
        <v>90508.214999999997</v>
      </c>
      <c r="U35">
        <v>69083.668000000005</v>
      </c>
      <c r="V35">
        <v>39638.718999999997</v>
      </c>
      <c r="W35">
        <v>199230.60200000001</v>
      </c>
      <c r="X35">
        <v>19367.63</v>
      </c>
      <c r="Y35">
        <v>222248.103</v>
      </c>
      <c r="Z35">
        <v>37891.839999999997</v>
      </c>
      <c r="AA35">
        <v>279507.57299999997</v>
      </c>
      <c r="AB35">
        <v>8922.2070000000003</v>
      </c>
      <c r="AC35">
        <v>9650.4760000000006</v>
      </c>
      <c r="AD35">
        <v>1335.539</v>
      </c>
      <c r="AE35">
        <v>19908.222000000002</v>
      </c>
      <c r="AF35">
        <v>2333.36</v>
      </c>
      <c r="AG35">
        <v>18900.983</v>
      </c>
      <c r="AH35">
        <v>10488.516</v>
      </c>
      <c r="AI35">
        <v>31722.859</v>
      </c>
      <c r="AJ35">
        <v>194468.93399999998</v>
      </c>
      <c r="AK35">
        <v>337978.69800000003</v>
      </c>
      <c r="AL35">
        <v>141624.73699999999</v>
      </c>
      <c r="AM35">
        <v>674072.36899999995</v>
      </c>
    </row>
    <row r="36" spans="1:39" x14ac:dyDescent="0.2">
      <c r="A36" s="65">
        <v>42735</v>
      </c>
      <c r="B36" s="2">
        <f t="shared" si="0"/>
        <v>42.156956000000001</v>
      </c>
      <c r="C36">
        <v>33805.697</v>
      </c>
      <c r="D36">
        <v>5455.99</v>
      </c>
      <c r="E36">
        <v>2895.2689999999998</v>
      </c>
      <c r="F36">
        <v>42156.955999999998</v>
      </c>
      <c r="H36">
        <v>1304.0150000000001</v>
      </c>
      <c r="I36">
        <v>198.00299999999999</v>
      </c>
      <c r="J36">
        <v>154.53</v>
      </c>
      <c r="K36">
        <v>1656.548</v>
      </c>
      <c r="L36">
        <v>12421.438</v>
      </c>
      <c r="M36">
        <v>7678.8990000000003</v>
      </c>
      <c r="N36">
        <v>35486.964</v>
      </c>
      <c r="O36">
        <v>55587.300999999999</v>
      </c>
      <c r="P36">
        <v>23636.876</v>
      </c>
      <c r="Q36">
        <v>6078.0450000000001</v>
      </c>
      <c r="R36">
        <v>11238.009</v>
      </c>
      <c r="S36">
        <v>40952.93</v>
      </c>
      <c r="T36">
        <v>92159.005999999994</v>
      </c>
      <c r="U36">
        <v>58133.464</v>
      </c>
      <c r="V36">
        <v>44147.203999999998</v>
      </c>
      <c r="W36">
        <v>194439.674</v>
      </c>
      <c r="X36">
        <v>20269.236000000001</v>
      </c>
      <c r="Y36">
        <v>224806.19099999999</v>
      </c>
      <c r="Z36">
        <v>37859.713000000003</v>
      </c>
      <c r="AA36">
        <v>282935.14</v>
      </c>
      <c r="AB36">
        <v>8570.8080000000009</v>
      </c>
      <c r="AC36">
        <v>9426.9889999999996</v>
      </c>
      <c r="AD36">
        <v>1609.854</v>
      </c>
      <c r="AE36">
        <v>19607.650999999998</v>
      </c>
      <c r="AF36">
        <v>1600.124</v>
      </c>
      <c r="AG36">
        <v>18819.849999999999</v>
      </c>
      <c r="AH36">
        <v>9740.2369999999992</v>
      </c>
      <c r="AI36">
        <v>30160.210999999996</v>
      </c>
      <c r="AJ36">
        <v>193767.2</v>
      </c>
      <c r="AK36">
        <v>330597.43099999998</v>
      </c>
      <c r="AL36">
        <v>143131.78</v>
      </c>
      <c r="AM36">
        <v>667496.41100000008</v>
      </c>
    </row>
    <row r="37" spans="1:39" x14ac:dyDescent="0.2">
      <c r="A37" s="65">
        <v>42766</v>
      </c>
      <c r="B37" s="2">
        <f t="shared" si="0"/>
        <v>40.080902000000002</v>
      </c>
      <c r="C37">
        <v>32385.05</v>
      </c>
      <c r="D37">
        <v>4877.5320000000002</v>
      </c>
      <c r="E37">
        <v>2818.32</v>
      </c>
      <c r="F37">
        <v>40080.902000000002</v>
      </c>
      <c r="H37">
        <v>1314.2280000000001</v>
      </c>
      <c r="I37">
        <v>204.84700000000001</v>
      </c>
      <c r="J37">
        <v>157.60900000000001</v>
      </c>
      <c r="K37">
        <v>1676.684</v>
      </c>
      <c r="L37">
        <v>10748.397999999999</v>
      </c>
      <c r="M37">
        <v>11211.664000000001</v>
      </c>
      <c r="N37">
        <v>36812.449999999997</v>
      </c>
      <c r="O37">
        <v>58772.511999999995</v>
      </c>
      <c r="P37">
        <v>26750.746999999999</v>
      </c>
      <c r="Q37">
        <v>6615.1469999999999</v>
      </c>
      <c r="R37">
        <v>11191.53</v>
      </c>
      <c r="S37">
        <v>44557.423999999999</v>
      </c>
      <c r="T37">
        <v>92540.255999999994</v>
      </c>
      <c r="U37">
        <v>63166.828000000001</v>
      </c>
      <c r="V37">
        <v>40589.550999999999</v>
      </c>
      <c r="W37">
        <v>196296.63500000001</v>
      </c>
      <c r="X37">
        <v>20205.59</v>
      </c>
      <c r="Y37">
        <v>225720.32699999999</v>
      </c>
      <c r="Z37">
        <v>37661.226999999999</v>
      </c>
      <c r="AA37">
        <v>283587.14399999997</v>
      </c>
      <c r="AB37">
        <v>9029.7520000000004</v>
      </c>
      <c r="AC37">
        <v>9833.3179999999993</v>
      </c>
      <c r="AD37">
        <v>1230.8499999999999</v>
      </c>
      <c r="AE37">
        <v>20093.919999999998</v>
      </c>
      <c r="AF37">
        <v>1749.115</v>
      </c>
      <c r="AG37">
        <v>18451.984</v>
      </c>
      <c r="AH37">
        <v>9016.1229999999996</v>
      </c>
      <c r="AI37">
        <v>29217.222000000002</v>
      </c>
      <c r="AJ37">
        <v>194723.136</v>
      </c>
      <c r="AK37">
        <v>340081.647</v>
      </c>
      <c r="AL37">
        <v>139477.66</v>
      </c>
      <c r="AM37">
        <v>674282.44300000009</v>
      </c>
    </row>
    <row r="38" spans="1:39" x14ac:dyDescent="0.2">
      <c r="A38" s="65">
        <v>42794</v>
      </c>
      <c r="B38" s="2">
        <f t="shared" si="0"/>
        <v>39.118537999999994</v>
      </c>
      <c r="C38">
        <v>31126.796999999999</v>
      </c>
      <c r="D38">
        <v>4724.2700000000004</v>
      </c>
      <c r="E38">
        <v>3267.471</v>
      </c>
      <c r="F38">
        <v>39118.537999999993</v>
      </c>
      <c r="H38">
        <v>1383.3150000000001</v>
      </c>
      <c r="I38">
        <v>222.584</v>
      </c>
      <c r="J38">
        <v>152.322</v>
      </c>
      <c r="K38">
        <v>1758.221</v>
      </c>
      <c r="L38">
        <v>11285.816000000001</v>
      </c>
      <c r="M38">
        <v>10349.196</v>
      </c>
      <c r="N38">
        <v>39496.665000000001</v>
      </c>
      <c r="O38">
        <v>61131.677000000003</v>
      </c>
      <c r="P38">
        <v>24622.177</v>
      </c>
      <c r="Q38">
        <v>9532.3359999999993</v>
      </c>
      <c r="R38">
        <v>10793.884</v>
      </c>
      <c r="S38">
        <v>44948.396999999997</v>
      </c>
      <c r="T38">
        <v>99423.84</v>
      </c>
      <c r="U38">
        <v>65229.271999999997</v>
      </c>
      <c r="V38">
        <v>41053.065000000002</v>
      </c>
      <c r="W38">
        <v>205706.177</v>
      </c>
      <c r="X38">
        <v>20575.764999999999</v>
      </c>
      <c r="Y38">
        <v>277532.95899999997</v>
      </c>
      <c r="Z38">
        <v>64859.936999999998</v>
      </c>
      <c r="AA38">
        <v>362968.66099999996</v>
      </c>
      <c r="AB38">
        <v>8794.7440000000006</v>
      </c>
      <c r="AC38">
        <v>9905.6710000000003</v>
      </c>
      <c r="AD38">
        <v>1344.7239999999999</v>
      </c>
      <c r="AE38">
        <v>20045.138999999999</v>
      </c>
      <c r="AF38">
        <v>1534.2090000000001</v>
      </c>
      <c r="AG38">
        <v>36588.696000000004</v>
      </c>
      <c r="AH38">
        <v>22666.489000000001</v>
      </c>
      <c r="AI38">
        <v>60789.394000000008</v>
      </c>
      <c r="AJ38">
        <v>198746.66300000003</v>
      </c>
      <c r="AK38">
        <v>414084.98399999994</v>
      </c>
      <c r="AL38">
        <v>183634.557</v>
      </c>
      <c r="AM38">
        <v>796466.20400000003</v>
      </c>
    </row>
    <row r="39" spans="1:39" x14ac:dyDescent="0.2">
      <c r="A39" s="65">
        <v>42825</v>
      </c>
      <c r="B39" s="2">
        <f t="shared" si="0"/>
        <v>35.700736999999997</v>
      </c>
      <c r="C39">
        <v>28373.53</v>
      </c>
      <c r="D39">
        <v>4520.5709999999999</v>
      </c>
      <c r="E39">
        <v>2806.636</v>
      </c>
      <c r="F39">
        <v>35700.736999999994</v>
      </c>
      <c r="H39">
        <v>1437.633</v>
      </c>
      <c r="I39">
        <v>255.11600000000001</v>
      </c>
      <c r="J39">
        <v>160.03700000000001</v>
      </c>
      <c r="K39">
        <v>1852.7860000000001</v>
      </c>
      <c r="L39">
        <v>10833.688</v>
      </c>
      <c r="M39">
        <v>9997.3119999999999</v>
      </c>
      <c r="N39">
        <v>36671.544000000002</v>
      </c>
      <c r="O39">
        <v>57502.544000000002</v>
      </c>
      <c r="P39">
        <v>23291.269</v>
      </c>
      <c r="Q39">
        <v>6344.55</v>
      </c>
      <c r="R39">
        <v>9676.5249999999996</v>
      </c>
      <c r="S39">
        <v>39312.343999999997</v>
      </c>
      <c r="T39">
        <v>92651.565000000002</v>
      </c>
      <c r="U39">
        <v>63787.034</v>
      </c>
      <c r="V39">
        <v>40073.945</v>
      </c>
      <c r="W39">
        <v>196512.54399999999</v>
      </c>
      <c r="X39">
        <v>19286.63</v>
      </c>
      <c r="Y39">
        <v>273839.78600000002</v>
      </c>
      <c r="Z39">
        <v>37431.154999999999</v>
      </c>
      <c r="AA39">
        <v>330557.571</v>
      </c>
      <c r="AB39">
        <v>8513.5</v>
      </c>
      <c r="AC39">
        <v>11898.216</v>
      </c>
      <c r="AD39">
        <v>3914.6170000000002</v>
      </c>
      <c r="AE39">
        <v>24326.332999999999</v>
      </c>
      <c r="AF39">
        <v>2051.4940000000001</v>
      </c>
      <c r="AG39">
        <v>45899.828000000001</v>
      </c>
      <c r="AH39">
        <v>41911.752999999997</v>
      </c>
      <c r="AI39">
        <v>89863.074999999997</v>
      </c>
      <c r="AJ39">
        <v>186439.30900000001</v>
      </c>
      <c r="AK39">
        <v>416542.413</v>
      </c>
      <c r="AL39">
        <v>172646.212</v>
      </c>
      <c r="AM39">
        <v>775627.93400000012</v>
      </c>
    </row>
    <row r="40" spans="1:39" x14ac:dyDescent="0.2">
      <c r="A40" s="65">
        <v>42855</v>
      </c>
      <c r="B40" s="2">
        <f t="shared" si="0"/>
        <v>40.852900999999996</v>
      </c>
      <c r="C40">
        <v>33332.233999999997</v>
      </c>
      <c r="D40">
        <v>4407.1899999999996</v>
      </c>
      <c r="E40">
        <v>3113.4769999999999</v>
      </c>
      <c r="F40">
        <v>40852.900999999998</v>
      </c>
      <c r="H40">
        <v>1819.383</v>
      </c>
      <c r="I40">
        <v>321.2</v>
      </c>
      <c r="J40">
        <v>176.92699999999999</v>
      </c>
      <c r="K40">
        <v>2317.5100000000002</v>
      </c>
      <c r="L40">
        <v>10886.646000000001</v>
      </c>
      <c r="M40">
        <v>8140.15</v>
      </c>
      <c r="N40">
        <v>38778.328999999998</v>
      </c>
      <c r="O40">
        <v>57805.125</v>
      </c>
      <c r="P40">
        <v>25941.686000000002</v>
      </c>
      <c r="Q40">
        <v>6458.3389999999999</v>
      </c>
      <c r="R40">
        <v>10408.959999999999</v>
      </c>
      <c r="S40">
        <v>42808.985000000001</v>
      </c>
      <c r="T40">
        <v>101481.868</v>
      </c>
      <c r="U40">
        <v>64727.777000000002</v>
      </c>
      <c r="V40">
        <v>47003.964</v>
      </c>
      <c r="W40">
        <v>213213.60900000003</v>
      </c>
      <c r="X40">
        <v>22253.812000000002</v>
      </c>
      <c r="Y40">
        <v>272296.61900000001</v>
      </c>
      <c r="Z40">
        <v>45580.146000000001</v>
      </c>
      <c r="AA40">
        <v>340130.57699999999</v>
      </c>
      <c r="AB40">
        <v>8957.6200000000008</v>
      </c>
      <c r="AC40">
        <v>11690.382</v>
      </c>
      <c r="AD40">
        <v>5812.223</v>
      </c>
      <c r="AE40">
        <v>26460.224999999999</v>
      </c>
      <c r="AF40">
        <v>3019.2020000000002</v>
      </c>
      <c r="AG40">
        <v>52401.775000000001</v>
      </c>
      <c r="AH40">
        <v>34432.79</v>
      </c>
      <c r="AI40">
        <v>89853.766999999993</v>
      </c>
      <c r="AJ40">
        <v>207692.45099999997</v>
      </c>
      <c r="AK40">
        <v>420443.43200000003</v>
      </c>
      <c r="AL40">
        <v>185306.81600000002</v>
      </c>
      <c r="AM40">
        <v>813442.69900000002</v>
      </c>
    </row>
    <row r="41" spans="1:39" x14ac:dyDescent="0.2">
      <c r="A41" s="65">
        <v>42886</v>
      </c>
      <c r="B41" s="2">
        <f t="shared" si="0"/>
        <v>43.004218000000002</v>
      </c>
      <c r="C41">
        <v>35815.822</v>
      </c>
      <c r="D41">
        <v>4100.1779999999999</v>
      </c>
      <c r="E41">
        <v>3088.2179999999998</v>
      </c>
      <c r="F41">
        <v>43004.218000000001</v>
      </c>
      <c r="H41">
        <v>1841.0630000000001</v>
      </c>
      <c r="I41">
        <v>358.46300000000002</v>
      </c>
      <c r="J41">
        <v>179.52600000000001</v>
      </c>
      <c r="K41">
        <v>2379.0520000000001</v>
      </c>
      <c r="L41">
        <v>15685.02</v>
      </c>
      <c r="M41">
        <v>11184.52</v>
      </c>
      <c r="N41">
        <v>37384.591999999997</v>
      </c>
      <c r="O41">
        <v>64254.131999999998</v>
      </c>
      <c r="P41">
        <v>38455.775000000001</v>
      </c>
      <c r="Q41">
        <v>8158.98</v>
      </c>
      <c r="R41">
        <v>16842.144</v>
      </c>
      <c r="S41">
        <v>63456.899000000005</v>
      </c>
      <c r="T41">
        <v>97645.221000000005</v>
      </c>
      <c r="U41">
        <v>72305.334000000003</v>
      </c>
      <c r="V41">
        <v>46845.048999999999</v>
      </c>
      <c r="W41">
        <v>216795.60399999999</v>
      </c>
      <c r="X41">
        <v>21664.411</v>
      </c>
      <c r="Y41">
        <v>271392.53200000001</v>
      </c>
      <c r="Z41">
        <v>41005.656000000003</v>
      </c>
      <c r="AA41">
        <v>334062.59900000005</v>
      </c>
      <c r="AB41">
        <v>9411.5589999999993</v>
      </c>
      <c r="AC41">
        <v>12105.731</v>
      </c>
      <c r="AD41">
        <v>5283.8509999999997</v>
      </c>
      <c r="AE41">
        <v>26801.141</v>
      </c>
      <c r="AF41">
        <v>1845.7159999999999</v>
      </c>
      <c r="AG41">
        <v>52962.180999999997</v>
      </c>
      <c r="AH41">
        <v>33009.118000000002</v>
      </c>
      <c r="AI41">
        <v>87817.014999999999</v>
      </c>
      <c r="AJ41">
        <v>222364.587</v>
      </c>
      <c r="AK41">
        <v>432567.91899999999</v>
      </c>
      <c r="AL41">
        <v>183638.15400000001</v>
      </c>
      <c r="AM41">
        <v>838570.66</v>
      </c>
    </row>
    <row r="42" spans="1:39" x14ac:dyDescent="0.2">
      <c r="A42" s="65">
        <v>42916</v>
      </c>
      <c r="B42" s="2">
        <f t="shared" si="0"/>
        <v>47.068944000000002</v>
      </c>
      <c r="C42">
        <v>39455.296000000002</v>
      </c>
      <c r="D42">
        <v>4661.9229999999998</v>
      </c>
      <c r="E42">
        <v>2951.7249999999999</v>
      </c>
      <c r="F42">
        <v>47068.944000000003</v>
      </c>
      <c r="H42">
        <v>1943.8389999999999</v>
      </c>
      <c r="I42">
        <v>325.46899999999999</v>
      </c>
      <c r="J42">
        <v>165.965</v>
      </c>
      <c r="K42">
        <v>2435.2730000000001</v>
      </c>
      <c r="L42">
        <v>12516.627</v>
      </c>
      <c r="M42">
        <v>12510.869000000001</v>
      </c>
      <c r="N42">
        <v>35438.048999999999</v>
      </c>
      <c r="O42">
        <v>60465.544999999998</v>
      </c>
      <c r="P42">
        <v>31598.228999999999</v>
      </c>
      <c r="Q42">
        <v>7932.826</v>
      </c>
      <c r="R42">
        <v>24344.25</v>
      </c>
      <c r="S42">
        <v>63875.305</v>
      </c>
      <c r="T42">
        <v>94536.851999999999</v>
      </c>
      <c r="U42">
        <v>74153.279999999999</v>
      </c>
      <c r="V42">
        <v>42558.955999999998</v>
      </c>
      <c r="W42">
        <v>211249.08799999999</v>
      </c>
      <c r="X42">
        <v>21125.506000000001</v>
      </c>
      <c r="Y42">
        <v>275835.00199999998</v>
      </c>
      <c r="Z42">
        <v>43143.046999999999</v>
      </c>
      <c r="AA42">
        <v>340103.55499999999</v>
      </c>
      <c r="AB42">
        <v>9059.7630000000008</v>
      </c>
      <c r="AC42">
        <v>12107.934999999999</v>
      </c>
      <c r="AD42">
        <v>6526.9089999999997</v>
      </c>
      <c r="AE42">
        <v>27694.607</v>
      </c>
      <c r="AF42">
        <v>2276.6350000000002</v>
      </c>
      <c r="AG42">
        <v>51497.771999999997</v>
      </c>
      <c r="AH42">
        <v>33541.214999999997</v>
      </c>
      <c r="AI42">
        <v>87315.622000000003</v>
      </c>
      <c r="AJ42">
        <v>212512.747</v>
      </c>
      <c r="AK42">
        <v>439025.07599999994</v>
      </c>
      <c r="AL42">
        <v>188670.11599999998</v>
      </c>
      <c r="AM42">
        <v>840207.93900000001</v>
      </c>
    </row>
    <row r="43" spans="1:39" x14ac:dyDescent="0.2">
      <c r="A43" s="65">
        <v>42947</v>
      </c>
      <c r="B43" s="2">
        <f t="shared" si="0"/>
        <v>43.434788000000005</v>
      </c>
      <c r="C43">
        <v>35716.014000000003</v>
      </c>
      <c r="D43">
        <v>4495.3320000000003</v>
      </c>
      <c r="E43">
        <v>3223.442</v>
      </c>
      <c r="F43">
        <v>43434.788000000008</v>
      </c>
      <c r="H43">
        <v>2010.162</v>
      </c>
      <c r="I43">
        <v>297.92099999999999</v>
      </c>
      <c r="J43">
        <v>164.33799999999999</v>
      </c>
      <c r="K43">
        <v>2472.4210000000003</v>
      </c>
      <c r="L43">
        <v>19050.514999999999</v>
      </c>
      <c r="M43">
        <v>10075.933999999999</v>
      </c>
      <c r="N43">
        <v>31728.374</v>
      </c>
      <c r="O43">
        <v>60854.823000000004</v>
      </c>
      <c r="P43">
        <v>32502.447</v>
      </c>
      <c r="Q43">
        <v>7201.4040000000005</v>
      </c>
      <c r="R43">
        <v>21933.808000000001</v>
      </c>
      <c r="S43">
        <v>61637.659</v>
      </c>
      <c r="T43">
        <v>101051.861</v>
      </c>
      <c r="U43">
        <v>74080.328999999998</v>
      </c>
      <c r="V43">
        <v>51546.777999999998</v>
      </c>
      <c r="W43">
        <v>226678.96799999999</v>
      </c>
      <c r="X43">
        <v>21498.2</v>
      </c>
      <c r="Y43">
        <v>290153.12</v>
      </c>
      <c r="Z43">
        <v>55164.474000000002</v>
      </c>
      <c r="AA43">
        <v>366815.79399999999</v>
      </c>
      <c r="AB43">
        <v>8880.7690000000002</v>
      </c>
      <c r="AC43">
        <v>12308.073</v>
      </c>
      <c r="AD43">
        <v>5207.308</v>
      </c>
      <c r="AE43">
        <v>26396.15</v>
      </c>
      <c r="AF43">
        <v>2191.9850000000001</v>
      </c>
      <c r="AG43">
        <v>35511.555</v>
      </c>
      <c r="AH43">
        <v>20357.131000000001</v>
      </c>
      <c r="AI43">
        <v>58060.671000000002</v>
      </c>
      <c r="AJ43">
        <v>222901.95300000001</v>
      </c>
      <c r="AK43">
        <v>434123.66799999995</v>
      </c>
      <c r="AL43">
        <v>189325.65299999996</v>
      </c>
      <c r="AM43">
        <v>846351.27399999986</v>
      </c>
    </row>
    <row r="44" spans="1:39" x14ac:dyDescent="0.2">
      <c r="A44" s="65">
        <v>42978</v>
      </c>
      <c r="B44" s="2">
        <f t="shared" si="0"/>
        <v>45.534385999999998</v>
      </c>
      <c r="C44">
        <v>37605.400999999998</v>
      </c>
      <c r="D44">
        <v>4463.277</v>
      </c>
      <c r="E44">
        <v>3465.7080000000001</v>
      </c>
      <c r="F44">
        <v>45534.385999999999</v>
      </c>
      <c r="H44">
        <v>1808.7550000000001</v>
      </c>
      <c r="I44">
        <v>266.94099999999997</v>
      </c>
      <c r="J44">
        <v>165.81100000000001</v>
      </c>
      <c r="K44">
        <v>2241.5070000000001</v>
      </c>
      <c r="L44">
        <v>13694.337</v>
      </c>
      <c r="M44">
        <v>10457.514999999999</v>
      </c>
      <c r="N44">
        <v>38497.781000000003</v>
      </c>
      <c r="O44">
        <v>62649.633000000002</v>
      </c>
      <c r="P44">
        <v>30446.41</v>
      </c>
      <c r="Q44">
        <v>6856.2039999999997</v>
      </c>
      <c r="R44">
        <v>37835.324000000001</v>
      </c>
      <c r="S44">
        <v>75137.937999999995</v>
      </c>
      <c r="T44">
        <v>105421.44899999999</v>
      </c>
      <c r="U44">
        <v>67291.112999999998</v>
      </c>
      <c r="V44">
        <v>55865.279999999999</v>
      </c>
      <c r="W44">
        <v>228577.84199999998</v>
      </c>
      <c r="X44">
        <v>21464.684000000001</v>
      </c>
      <c r="Y44">
        <v>284617.98800000001</v>
      </c>
      <c r="Z44">
        <v>59142.951999999997</v>
      </c>
      <c r="AA44">
        <v>365225.62400000001</v>
      </c>
      <c r="AB44">
        <v>9490.0310000000009</v>
      </c>
      <c r="AC44">
        <v>12061.216</v>
      </c>
      <c r="AD44">
        <v>4869.8559999999998</v>
      </c>
      <c r="AE44">
        <v>26421.103000000003</v>
      </c>
      <c r="AF44">
        <v>2387.8159999999998</v>
      </c>
      <c r="AG44">
        <v>45959.038</v>
      </c>
      <c r="AH44">
        <v>23031.192999999999</v>
      </c>
      <c r="AI44">
        <v>71378.046999999991</v>
      </c>
      <c r="AJ44">
        <v>222318.88299999997</v>
      </c>
      <c r="AK44">
        <v>431973.29200000002</v>
      </c>
      <c r="AL44">
        <v>222873.905</v>
      </c>
      <c r="AM44">
        <v>877166.08000000007</v>
      </c>
    </row>
    <row r="45" spans="1:39" x14ac:dyDescent="0.2">
      <c r="A45" s="65">
        <v>43008</v>
      </c>
      <c r="B45" s="2">
        <f t="shared" si="0"/>
        <v>47.185788000000002</v>
      </c>
      <c r="C45">
        <v>39358.608</v>
      </c>
      <c r="D45">
        <v>4319.9489999999996</v>
      </c>
      <c r="E45">
        <v>3507.2310000000002</v>
      </c>
      <c r="F45">
        <v>47185.788</v>
      </c>
      <c r="H45">
        <v>2009.606</v>
      </c>
      <c r="I45">
        <v>389.55799999999999</v>
      </c>
      <c r="J45">
        <v>166.726</v>
      </c>
      <c r="K45">
        <v>2565.89</v>
      </c>
      <c r="L45">
        <v>13113.162</v>
      </c>
      <c r="M45">
        <v>12373.874</v>
      </c>
      <c r="N45">
        <v>36757.235999999997</v>
      </c>
      <c r="O45">
        <v>62244.271999999997</v>
      </c>
      <c r="P45">
        <v>47980.055999999997</v>
      </c>
      <c r="Q45">
        <v>12306.467000000001</v>
      </c>
      <c r="R45">
        <v>36192.500999999997</v>
      </c>
      <c r="S45">
        <v>96479.024000000005</v>
      </c>
      <c r="T45">
        <v>101081.1</v>
      </c>
      <c r="U45">
        <v>66875.259000000005</v>
      </c>
      <c r="V45">
        <v>46295.961000000003</v>
      </c>
      <c r="W45">
        <v>214252.32</v>
      </c>
      <c r="X45">
        <v>20620.73</v>
      </c>
      <c r="Y45">
        <v>296881.36599999998</v>
      </c>
      <c r="Z45">
        <v>59464.764999999999</v>
      </c>
      <c r="AA45">
        <v>376966.86099999998</v>
      </c>
      <c r="AB45">
        <v>9549.4869999999992</v>
      </c>
      <c r="AC45">
        <v>12811.632</v>
      </c>
      <c r="AD45">
        <v>4163.0079999999998</v>
      </c>
      <c r="AE45">
        <v>26524.127</v>
      </c>
      <c r="AF45">
        <v>3445.201</v>
      </c>
      <c r="AG45">
        <v>40414.671999999999</v>
      </c>
      <c r="AH45">
        <v>22914.664000000001</v>
      </c>
      <c r="AI45">
        <v>66774.536999999997</v>
      </c>
      <c r="AJ45">
        <v>237157.95</v>
      </c>
      <c r="AK45">
        <v>446372.777</v>
      </c>
      <c r="AL45">
        <v>209462.09199999998</v>
      </c>
      <c r="AM45">
        <v>892992.8189999999</v>
      </c>
    </row>
    <row r="46" spans="1:39" x14ac:dyDescent="0.2">
      <c r="A46" s="65">
        <v>43039</v>
      </c>
      <c r="B46" s="2">
        <f t="shared" si="0"/>
        <v>44.655287999999999</v>
      </c>
      <c r="C46">
        <v>37279.972999999998</v>
      </c>
      <c r="D46">
        <v>3956.9940000000001</v>
      </c>
      <c r="E46">
        <v>3418.3209999999999</v>
      </c>
      <c r="F46">
        <v>44655.288</v>
      </c>
      <c r="H46">
        <v>1827.759</v>
      </c>
      <c r="I46">
        <v>377.34500000000003</v>
      </c>
      <c r="J46">
        <v>169.50399999999999</v>
      </c>
      <c r="K46">
        <v>2374.6080000000002</v>
      </c>
      <c r="L46">
        <v>15525.322</v>
      </c>
      <c r="M46">
        <v>10280.26</v>
      </c>
      <c r="N46">
        <v>35586.430999999997</v>
      </c>
      <c r="O46">
        <v>61392.012999999999</v>
      </c>
      <c r="P46">
        <v>37859.966999999997</v>
      </c>
      <c r="Q46">
        <v>8686.2119999999995</v>
      </c>
      <c r="R46">
        <v>64284.502999999997</v>
      </c>
      <c r="S46">
        <v>110830.682</v>
      </c>
      <c r="T46">
        <v>100836.077</v>
      </c>
      <c r="U46">
        <v>67596.756999999998</v>
      </c>
      <c r="V46">
        <v>47570.546999999999</v>
      </c>
      <c r="W46">
        <v>216003.38099999999</v>
      </c>
      <c r="X46">
        <v>21869.847000000002</v>
      </c>
      <c r="Y46">
        <v>290375.79499999998</v>
      </c>
      <c r="Z46">
        <v>59111.277999999998</v>
      </c>
      <c r="AA46">
        <v>371356.92</v>
      </c>
      <c r="AB46">
        <v>9941.5370000000003</v>
      </c>
      <c r="AC46">
        <v>12281.468000000001</v>
      </c>
      <c r="AD46">
        <v>5561.5519999999997</v>
      </c>
      <c r="AE46">
        <v>27784.557000000001</v>
      </c>
      <c r="AF46">
        <v>3006.6840000000002</v>
      </c>
      <c r="AG46">
        <v>40635.286</v>
      </c>
      <c r="AH46">
        <v>22343.907999999999</v>
      </c>
      <c r="AI46">
        <v>65985.877999999997</v>
      </c>
      <c r="AJ46">
        <v>228147.16600000003</v>
      </c>
      <c r="AK46">
        <v>434190.11700000003</v>
      </c>
      <c r="AL46">
        <v>238046.04399999997</v>
      </c>
      <c r="AM46">
        <v>900383.32700000005</v>
      </c>
    </row>
    <row r="47" spans="1:39" x14ac:dyDescent="0.2">
      <c r="A47" s="65">
        <v>43069</v>
      </c>
      <c r="B47" s="2">
        <f t="shared" si="0"/>
        <v>43.577667999999996</v>
      </c>
      <c r="C47">
        <v>36066.400999999998</v>
      </c>
      <c r="D47">
        <v>3739.623</v>
      </c>
      <c r="E47">
        <v>3771.6439999999998</v>
      </c>
      <c r="F47">
        <v>43577.667999999998</v>
      </c>
      <c r="H47">
        <v>1949.165</v>
      </c>
      <c r="I47">
        <v>384.56599999999997</v>
      </c>
      <c r="J47">
        <v>170.001</v>
      </c>
      <c r="K47">
        <v>2503.732</v>
      </c>
      <c r="L47">
        <v>16337.975</v>
      </c>
      <c r="M47">
        <v>12572.951999999999</v>
      </c>
      <c r="N47">
        <v>38540.370000000003</v>
      </c>
      <c r="O47">
        <v>67451.297000000006</v>
      </c>
      <c r="P47">
        <v>33417.4</v>
      </c>
      <c r="Q47">
        <v>7465.1180000000004</v>
      </c>
      <c r="R47">
        <v>79173.394</v>
      </c>
      <c r="S47">
        <v>120055.91200000001</v>
      </c>
      <c r="T47">
        <v>108477.012</v>
      </c>
      <c r="U47">
        <v>66766.088000000003</v>
      </c>
      <c r="V47">
        <v>50397.514999999999</v>
      </c>
      <c r="W47">
        <v>225640.61499999999</v>
      </c>
      <c r="X47">
        <v>22266.834999999999</v>
      </c>
      <c r="Y47">
        <v>293722.71000000002</v>
      </c>
      <c r="Z47">
        <v>59346.874000000003</v>
      </c>
      <c r="AA47">
        <v>375336.41900000005</v>
      </c>
      <c r="AB47">
        <v>9730.33</v>
      </c>
      <c r="AC47">
        <v>12024.538</v>
      </c>
      <c r="AD47">
        <v>5120.7740000000003</v>
      </c>
      <c r="AE47">
        <v>26875.642000000003</v>
      </c>
      <c r="AF47">
        <v>3056.0790000000002</v>
      </c>
      <c r="AG47">
        <v>40867.154000000002</v>
      </c>
      <c r="AH47">
        <v>22364.661</v>
      </c>
      <c r="AI47">
        <v>66287.894</v>
      </c>
      <c r="AJ47">
        <v>231301.19699999996</v>
      </c>
      <c r="AK47">
        <v>437542.74900000001</v>
      </c>
      <c r="AL47">
        <v>258885.23300000001</v>
      </c>
      <c r="AM47">
        <v>927729.179</v>
      </c>
    </row>
    <row r="48" spans="1:39" x14ac:dyDescent="0.2">
      <c r="A48" s="65">
        <v>43100</v>
      </c>
      <c r="B48" s="2">
        <f t="shared" si="0"/>
        <v>47.279895000000003</v>
      </c>
      <c r="C48">
        <v>39236.548000000003</v>
      </c>
      <c r="D48">
        <v>4048.663</v>
      </c>
      <c r="E48">
        <v>3994.6840000000002</v>
      </c>
      <c r="F48">
        <v>47279.895000000004</v>
      </c>
      <c r="H48">
        <v>1545.8879999999999</v>
      </c>
      <c r="I48">
        <v>377.404</v>
      </c>
      <c r="J48">
        <v>163.977</v>
      </c>
      <c r="K48">
        <v>2087.2689999999998</v>
      </c>
      <c r="L48">
        <v>15926.902</v>
      </c>
      <c r="M48">
        <v>6409.9369999999999</v>
      </c>
      <c r="N48">
        <v>35901.152999999998</v>
      </c>
      <c r="O48">
        <v>58237.991999999998</v>
      </c>
      <c r="P48">
        <v>36853.052000000003</v>
      </c>
      <c r="Q48">
        <v>9693.3889999999992</v>
      </c>
      <c r="R48">
        <v>49425.898000000001</v>
      </c>
      <c r="S48">
        <v>95972.339000000007</v>
      </c>
      <c r="T48">
        <v>106887.806</v>
      </c>
      <c r="U48">
        <v>64669.345999999998</v>
      </c>
      <c r="V48">
        <v>46506.550999999999</v>
      </c>
      <c r="W48">
        <v>218063.70300000001</v>
      </c>
      <c r="X48">
        <v>21623.74</v>
      </c>
      <c r="Y48">
        <v>296523.22700000001</v>
      </c>
      <c r="Z48">
        <v>59475.510999999999</v>
      </c>
      <c r="AA48">
        <v>377622.478</v>
      </c>
      <c r="AB48">
        <v>9337.2109999999993</v>
      </c>
      <c r="AC48">
        <v>12744.597</v>
      </c>
      <c r="AD48">
        <v>5123.3360000000002</v>
      </c>
      <c r="AE48">
        <v>27205.143999999997</v>
      </c>
      <c r="AF48">
        <v>4192.5630000000001</v>
      </c>
      <c r="AG48">
        <v>40959.642999999996</v>
      </c>
      <c r="AH48">
        <v>21396.847000000002</v>
      </c>
      <c r="AI48">
        <v>66549.053</v>
      </c>
      <c r="AJ48">
        <v>235603.71</v>
      </c>
      <c r="AK48">
        <v>435426.20600000001</v>
      </c>
      <c r="AL48">
        <v>221987.95700000002</v>
      </c>
      <c r="AM48">
        <v>893017.87300000002</v>
      </c>
    </row>
    <row r="49" spans="1:39" x14ac:dyDescent="0.2">
      <c r="A49" s="65">
        <v>43131</v>
      </c>
      <c r="B49" s="2">
        <f t="shared" si="0"/>
        <v>46.753323000000002</v>
      </c>
      <c r="C49">
        <v>39687.970999999998</v>
      </c>
      <c r="D49">
        <v>3662.9780000000001</v>
      </c>
      <c r="E49">
        <v>3402.3739999999998</v>
      </c>
      <c r="F49">
        <v>46753.323000000004</v>
      </c>
      <c r="H49">
        <v>1495.5450000000001</v>
      </c>
      <c r="I49">
        <v>354.952</v>
      </c>
      <c r="J49">
        <v>167.97399999999999</v>
      </c>
      <c r="K49">
        <v>2018.471</v>
      </c>
      <c r="L49">
        <v>19384.395</v>
      </c>
      <c r="M49">
        <v>5454.7489999999998</v>
      </c>
      <c r="N49">
        <v>36507.489000000001</v>
      </c>
      <c r="O49">
        <v>61346.633000000002</v>
      </c>
      <c r="P49">
        <v>34392.377999999997</v>
      </c>
      <c r="Q49">
        <v>8642.09</v>
      </c>
      <c r="R49">
        <v>50401.118999999999</v>
      </c>
      <c r="S49">
        <v>93435.587</v>
      </c>
      <c r="T49">
        <v>110796.83100000001</v>
      </c>
      <c r="U49">
        <v>71960.048999999999</v>
      </c>
      <c r="V49">
        <v>51114.358999999997</v>
      </c>
      <c r="W49">
        <v>233871.239</v>
      </c>
      <c r="X49">
        <v>29065.722000000002</v>
      </c>
      <c r="Y49">
        <v>294271.52899999998</v>
      </c>
      <c r="Z49">
        <v>60360.555</v>
      </c>
      <c r="AA49">
        <v>383697.80599999998</v>
      </c>
      <c r="AB49">
        <v>10223.449000000001</v>
      </c>
      <c r="AC49">
        <v>13313.129000000001</v>
      </c>
      <c r="AD49">
        <v>5136.3209999999999</v>
      </c>
      <c r="AE49">
        <v>28672.899000000001</v>
      </c>
      <c r="AF49">
        <v>3110.5259999999998</v>
      </c>
      <c r="AG49">
        <v>41515.578999999998</v>
      </c>
      <c r="AH49">
        <v>21369.393</v>
      </c>
      <c r="AI49">
        <v>65995.497999999992</v>
      </c>
      <c r="AJ49">
        <v>248156.81700000001</v>
      </c>
      <c r="AK49">
        <v>439175.05499999999</v>
      </c>
      <c r="AL49">
        <v>228459.584</v>
      </c>
      <c r="AM49">
        <v>915791.45600000001</v>
      </c>
    </row>
    <row r="50" spans="1:39" x14ac:dyDescent="0.2">
      <c r="A50" s="65">
        <v>43159</v>
      </c>
      <c r="B50" s="2">
        <f t="shared" si="0"/>
        <v>47.051499999999997</v>
      </c>
      <c r="C50">
        <v>39696.103000000003</v>
      </c>
      <c r="D50">
        <v>3738.3330000000001</v>
      </c>
      <c r="E50">
        <v>3617.0639999999999</v>
      </c>
      <c r="F50">
        <v>47051.5</v>
      </c>
      <c r="H50">
        <v>1629.711</v>
      </c>
      <c r="I50">
        <v>348.77</v>
      </c>
      <c r="J50">
        <v>166.88499999999999</v>
      </c>
      <c r="K50">
        <v>2145.366</v>
      </c>
      <c r="L50">
        <v>14555.832</v>
      </c>
      <c r="M50">
        <v>6245.7579999999998</v>
      </c>
      <c r="N50">
        <v>38099.167000000001</v>
      </c>
      <c r="O50">
        <v>58900.756999999998</v>
      </c>
      <c r="P50">
        <v>33916.957999999999</v>
      </c>
      <c r="Q50">
        <v>13817.231</v>
      </c>
      <c r="R50">
        <v>59026.226000000002</v>
      </c>
      <c r="S50">
        <v>106760.41500000001</v>
      </c>
      <c r="T50">
        <v>115589.424</v>
      </c>
      <c r="U50">
        <v>75336.834000000003</v>
      </c>
      <c r="V50">
        <v>50505.635000000002</v>
      </c>
      <c r="W50">
        <v>241431.89300000001</v>
      </c>
      <c r="X50">
        <v>29977.771000000001</v>
      </c>
      <c r="Y50">
        <v>298469.28700000001</v>
      </c>
      <c r="Z50">
        <v>61102.597999999998</v>
      </c>
      <c r="AA50">
        <v>389549.65600000002</v>
      </c>
      <c r="AB50">
        <v>10292.384</v>
      </c>
      <c r="AC50">
        <v>12962.758</v>
      </c>
      <c r="AD50">
        <v>5346.4709999999995</v>
      </c>
      <c r="AE50">
        <v>28601.612999999998</v>
      </c>
      <c r="AF50">
        <v>2921.7649999999999</v>
      </c>
      <c r="AG50">
        <v>42058.732000000004</v>
      </c>
      <c r="AH50">
        <v>21423.991999999998</v>
      </c>
      <c r="AI50">
        <v>66404.489000000001</v>
      </c>
      <c r="AJ50">
        <v>248579.948</v>
      </c>
      <c r="AK50">
        <v>452977.70299999998</v>
      </c>
      <c r="AL50">
        <v>239288.038</v>
      </c>
      <c r="AM50">
        <v>940845.68900000001</v>
      </c>
    </row>
    <row r="51" spans="1:39" x14ac:dyDescent="0.2">
      <c r="A51" s="65">
        <v>43190</v>
      </c>
      <c r="B51" s="2">
        <f t="shared" si="0"/>
        <v>51.073535999999997</v>
      </c>
      <c r="C51">
        <v>42796.053</v>
      </c>
      <c r="D51">
        <v>4515.991</v>
      </c>
      <c r="E51">
        <v>3761.4920000000002</v>
      </c>
      <c r="F51">
        <v>51073.536</v>
      </c>
      <c r="H51">
        <v>1822.0419999999999</v>
      </c>
      <c r="I51">
        <v>370.42700000000002</v>
      </c>
      <c r="J51">
        <v>166.17500000000001</v>
      </c>
      <c r="K51">
        <v>2358.6440000000002</v>
      </c>
      <c r="L51">
        <v>11381.513000000001</v>
      </c>
      <c r="M51">
        <v>5413.1779999999999</v>
      </c>
      <c r="N51">
        <v>38265.184999999998</v>
      </c>
      <c r="O51">
        <v>55059.875999999997</v>
      </c>
      <c r="P51">
        <v>35771.237999999998</v>
      </c>
      <c r="Q51">
        <v>12502.734</v>
      </c>
      <c r="R51">
        <v>45658.83</v>
      </c>
      <c r="S51">
        <v>93932.801999999996</v>
      </c>
      <c r="T51">
        <v>109289.34299999999</v>
      </c>
      <c r="U51">
        <v>73240.744000000006</v>
      </c>
      <c r="V51">
        <v>49790.743000000002</v>
      </c>
      <c r="W51">
        <v>232320.83000000002</v>
      </c>
      <c r="X51">
        <v>39096.410000000003</v>
      </c>
      <c r="Y51">
        <v>303078.24599999998</v>
      </c>
      <c r="Z51">
        <v>61145.712</v>
      </c>
      <c r="AA51">
        <v>403320.36799999996</v>
      </c>
      <c r="AB51">
        <v>10866.392</v>
      </c>
      <c r="AC51">
        <v>13273.849</v>
      </c>
      <c r="AD51">
        <v>5236.83</v>
      </c>
      <c r="AE51">
        <v>29377.071000000004</v>
      </c>
      <c r="AF51">
        <v>3705.9409999999998</v>
      </c>
      <c r="AG51">
        <v>42279.161999999997</v>
      </c>
      <c r="AH51">
        <v>20636.732</v>
      </c>
      <c r="AI51">
        <v>66621.834999999992</v>
      </c>
      <c r="AJ51">
        <v>254728.93199999997</v>
      </c>
      <c r="AK51">
        <v>454674.33100000001</v>
      </c>
      <c r="AL51">
        <v>224661.69899999996</v>
      </c>
      <c r="AM51">
        <v>934064.96200000006</v>
      </c>
    </row>
    <row r="52" spans="1:39" x14ac:dyDescent="0.2">
      <c r="A52" s="65">
        <v>43220</v>
      </c>
      <c r="B52" s="2">
        <f t="shared" si="0"/>
        <v>50.400241000000001</v>
      </c>
      <c r="C52">
        <v>42422.737000000001</v>
      </c>
      <c r="D52">
        <v>4285.8029999999999</v>
      </c>
      <c r="E52">
        <v>3691.701</v>
      </c>
      <c r="F52">
        <v>50400.241000000002</v>
      </c>
      <c r="H52">
        <v>2000.3050000000001</v>
      </c>
      <c r="I52">
        <v>404.68799999999999</v>
      </c>
      <c r="J52">
        <v>164.19200000000001</v>
      </c>
      <c r="K52">
        <v>2569.1849999999999</v>
      </c>
      <c r="L52">
        <v>12580.321</v>
      </c>
      <c r="M52">
        <v>5331.3789999999999</v>
      </c>
      <c r="N52">
        <v>42462.273000000001</v>
      </c>
      <c r="O52">
        <v>60373.972999999998</v>
      </c>
      <c r="P52">
        <v>45668.71</v>
      </c>
      <c r="Q52">
        <v>12871.629000000001</v>
      </c>
      <c r="R52">
        <v>46521.029000000002</v>
      </c>
      <c r="S52">
        <v>105061.368</v>
      </c>
      <c r="T52">
        <v>112911.387</v>
      </c>
      <c r="U52">
        <v>74147.778000000006</v>
      </c>
      <c r="V52">
        <v>50301.517999999996</v>
      </c>
      <c r="W52">
        <v>237360.68300000002</v>
      </c>
      <c r="X52">
        <v>31891.289000000001</v>
      </c>
      <c r="Y52">
        <v>303089.61</v>
      </c>
      <c r="Z52">
        <v>60180.803999999996</v>
      </c>
      <c r="AA52">
        <v>395161.70299999998</v>
      </c>
      <c r="AB52">
        <v>11708.84</v>
      </c>
      <c r="AC52">
        <v>12992.141</v>
      </c>
      <c r="AD52">
        <v>5028.1019999999999</v>
      </c>
      <c r="AE52">
        <v>29729.082999999999</v>
      </c>
      <c r="AF52">
        <v>3071.395</v>
      </c>
      <c r="AG52">
        <v>41469.281000000003</v>
      </c>
      <c r="AH52">
        <v>20874.341</v>
      </c>
      <c r="AI52">
        <v>65415.017</v>
      </c>
      <c r="AJ52">
        <v>262254.984</v>
      </c>
      <c r="AK52">
        <v>454592.30900000001</v>
      </c>
      <c r="AL52">
        <v>229223.96000000002</v>
      </c>
      <c r="AM52">
        <v>946071.25300000003</v>
      </c>
    </row>
    <row r="53" spans="1:39" x14ac:dyDescent="0.2">
      <c r="A53" s="65">
        <v>43251</v>
      </c>
      <c r="B53" s="2">
        <f t="shared" si="0"/>
        <v>51.531459999999996</v>
      </c>
      <c r="C53">
        <v>43466.504000000001</v>
      </c>
      <c r="D53">
        <v>4153.4979999999996</v>
      </c>
      <c r="E53">
        <v>3911.4580000000001</v>
      </c>
      <c r="F53">
        <v>51531.46</v>
      </c>
      <c r="H53">
        <v>2135.2339999999999</v>
      </c>
      <c r="I53">
        <v>391.84300000000002</v>
      </c>
      <c r="J53">
        <v>163.32400000000001</v>
      </c>
      <c r="K53">
        <v>2690.4009999999998</v>
      </c>
      <c r="L53">
        <v>12666.903</v>
      </c>
      <c r="M53">
        <v>5866.9840000000004</v>
      </c>
      <c r="N53">
        <v>40923.847000000002</v>
      </c>
      <c r="O53">
        <v>59457.734000000004</v>
      </c>
      <c r="P53">
        <v>43226.733999999997</v>
      </c>
      <c r="Q53">
        <v>11309.507</v>
      </c>
      <c r="R53">
        <v>47895.883999999998</v>
      </c>
      <c r="S53">
        <v>102432.125</v>
      </c>
      <c r="T53">
        <v>120652.61900000001</v>
      </c>
      <c r="U53">
        <v>89364.134000000005</v>
      </c>
      <c r="V53">
        <v>53154.796000000002</v>
      </c>
      <c r="W53">
        <v>263171.549</v>
      </c>
      <c r="X53">
        <v>30675.761999999999</v>
      </c>
      <c r="Y53">
        <v>303782.37699999998</v>
      </c>
      <c r="Z53">
        <v>61088.442999999999</v>
      </c>
      <c r="AA53">
        <v>395546.58199999994</v>
      </c>
      <c r="AB53">
        <v>10994.128000000001</v>
      </c>
      <c r="AC53">
        <v>13945.316000000001</v>
      </c>
      <c r="AD53">
        <v>5191.0969999999998</v>
      </c>
      <c r="AE53">
        <v>30130.541000000005</v>
      </c>
      <c r="AF53">
        <v>3226.328</v>
      </c>
      <c r="AG53">
        <v>42788.985999999997</v>
      </c>
      <c r="AH53">
        <v>20332.164000000001</v>
      </c>
      <c r="AI53">
        <v>66347.478000000003</v>
      </c>
      <c r="AJ53">
        <v>267044.212</v>
      </c>
      <c r="AK53">
        <v>471602.64499999996</v>
      </c>
      <c r="AL53">
        <v>232661.01300000001</v>
      </c>
      <c r="AM53">
        <v>971307.87</v>
      </c>
    </row>
    <row r="54" spans="1:39" x14ac:dyDescent="0.2">
      <c r="A54" s="65">
        <v>43281</v>
      </c>
      <c r="B54" s="2">
        <f t="shared" si="0"/>
        <v>57.531514999999999</v>
      </c>
      <c r="C54">
        <v>49165.584000000003</v>
      </c>
      <c r="D54">
        <v>4312.3440000000001</v>
      </c>
      <c r="E54">
        <v>4053.587</v>
      </c>
      <c r="F54">
        <v>57531.514999999999</v>
      </c>
      <c r="H54">
        <v>1763.588</v>
      </c>
      <c r="I54">
        <v>403.63799999999998</v>
      </c>
      <c r="J54">
        <v>163.809</v>
      </c>
      <c r="K54">
        <v>2331.0350000000003</v>
      </c>
      <c r="L54">
        <v>17790.019</v>
      </c>
      <c r="M54">
        <v>6465.0940000000001</v>
      </c>
      <c r="N54">
        <v>41937.805999999997</v>
      </c>
      <c r="O54">
        <v>66192.918999999994</v>
      </c>
      <c r="P54">
        <v>40673.141000000003</v>
      </c>
      <c r="Q54">
        <v>11970.477999999999</v>
      </c>
      <c r="R54">
        <v>34463.055999999997</v>
      </c>
      <c r="S54">
        <v>87106.675000000003</v>
      </c>
      <c r="T54">
        <v>119541.26300000001</v>
      </c>
      <c r="U54">
        <v>80791.350000000006</v>
      </c>
      <c r="V54">
        <v>48063.315999999999</v>
      </c>
      <c r="W54">
        <v>248395.929</v>
      </c>
      <c r="X54">
        <v>31574.382000000001</v>
      </c>
      <c r="Y54">
        <v>310122.52799999999</v>
      </c>
      <c r="Z54">
        <v>61101.584000000003</v>
      </c>
      <c r="AA54">
        <v>402798.49399999995</v>
      </c>
      <c r="AB54">
        <v>11365.582</v>
      </c>
      <c r="AC54">
        <v>13750.373</v>
      </c>
      <c r="AD54">
        <v>5452.2079999999996</v>
      </c>
      <c r="AE54">
        <v>30568.163</v>
      </c>
      <c r="AF54">
        <v>3064.0120000000002</v>
      </c>
      <c r="AG54">
        <v>42970.637999999999</v>
      </c>
      <c r="AH54">
        <v>20325.778999999999</v>
      </c>
      <c r="AI54">
        <v>66360.429000000004</v>
      </c>
      <c r="AJ54">
        <v>274937.57100000005</v>
      </c>
      <c r="AK54">
        <v>470786.44300000003</v>
      </c>
      <c r="AL54">
        <v>215561.14500000002</v>
      </c>
      <c r="AM54">
        <v>961285.1590000001</v>
      </c>
    </row>
    <row r="55" spans="1:39" x14ac:dyDescent="0.2">
      <c r="A55" s="65">
        <v>43312</v>
      </c>
      <c r="B55" s="2">
        <f t="shared" si="0"/>
        <v>51.755243999999998</v>
      </c>
      <c r="C55">
        <v>43020.894</v>
      </c>
      <c r="D55">
        <v>4782.085</v>
      </c>
      <c r="E55">
        <v>3952.2649999999999</v>
      </c>
      <c r="F55">
        <v>51755.243999999999</v>
      </c>
      <c r="H55">
        <v>1935.4380000000001</v>
      </c>
      <c r="I55">
        <v>418.53300000000002</v>
      </c>
      <c r="J55">
        <v>170.376</v>
      </c>
      <c r="K55">
        <v>2524.3470000000002</v>
      </c>
      <c r="L55">
        <v>15306.168</v>
      </c>
      <c r="M55">
        <v>7066.1049999999996</v>
      </c>
      <c r="N55">
        <v>33526.387000000002</v>
      </c>
      <c r="O55">
        <v>55898.66</v>
      </c>
      <c r="P55">
        <v>38580.158000000003</v>
      </c>
      <c r="Q55">
        <v>12892.953</v>
      </c>
      <c r="R55">
        <v>52159.385000000002</v>
      </c>
      <c r="S55">
        <v>103632.49600000001</v>
      </c>
      <c r="T55">
        <v>125245.89599999999</v>
      </c>
      <c r="U55">
        <v>86023.296000000002</v>
      </c>
      <c r="V55">
        <v>53925.648000000001</v>
      </c>
      <c r="W55">
        <v>265194.83999999997</v>
      </c>
      <c r="X55">
        <v>32038.832999999999</v>
      </c>
      <c r="Y55">
        <v>315435.70299999998</v>
      </c>
      <c r="Z55">
        <v>61849.800999999999</v>
      </c>
      <c r="AA55">
        <v>409324.33699999994</v>
      </c>
      <c r="AB55">
        <v>11008.948</v>
      </c>
      <c r="AC55">
        <v>13545.284</v>
      </c>
      <c r="AD55">
        <v>5617.1559999999999</v>
      </c>
      <c r="AE55">
        <v>30171.387999999999</v>
      </c>
      <c r="AF55">
        <v>3214.8719999999998</v>
      </c>
      <c r="AG55">
        <v>43204.031000000003</v>
      </c>
      <c r="AH55">
        <v>20648.919999999998</v>
      </c>
      <c r="AI55">
        <v>67067.823000000004</v>
      </c>
      <c r="AJ55">
        <v>270351.20699999999</v>
      </c>
      <c r="AK55">
        <v>483367.99</v>
      </c>
      <c r="AL55">
        <v>231849.93799999999</v>
      </c>
      <c r="AM55">
        <v>985569.13499999989</v>
      </c>
    </row>
    <row r="56" spans="1:39" x14ac:dyDescent="0.2">
      <c r="A56" s="65">
        <v>43343</v>
      </c>
      <c r="B56" s="2">
        <f t="shared" si="0"/>
        <v>53.871608999999999</v>
      </c>
      <c r="C56">
        <v>44027.682999999997</v>
      </c>
      <c r="D56">
        <v>5716.2920000000004</v>
      </c>
      <c r="E56">
        <v>4127.634</v>
      </c>
      <c r="F56">
        <v>53871.608999999997</v>
      </c>
      <c r="H56">
        <v>1236.798</v>
      </c>
      <c r="I56">
        <v>170.74299999999999</v>
      </c>
      <c r="J56">
        <v>163.89500000000001</v>
      </c>
      <c r="K56">
        <v>1571.4359999999999</v>
      </c>
      <c r="L56">
        <v>12887.531999999999</v>
      </c>
      <c r="M56">
        <v>5158.7449999999999</v>
      </c>
      <c r="N56">
        <v>39056.425000000003</v>
      </c>
      <c r="O56">
        <v>57102.702000000005</v>
      </c>
      <c r="P56">
        <v>39489.313000000002</v>
      </c>
      <c r="Q56">
        <v>12869.039000000001</v>
      </c>
      <c r="R56">
        <v>49054.046000000002</v>
      </c>
      <c r="S56">
        <v>101412.398</v>
      </c>
      <c r="T56">
        <v>127005.07</v>
      </c>
      <c r="U56">
        <v>86532.464000000007</v>
      </c>
      <c r="V56">
        <v>56529.394</v>
      </c>
      <c r="W56">
        <v>270066.92800000001</v>
      </c>
      <c r="X56">
        <v>32617.985000000001</v>
      </c>
      <c r="Y56">
        <v>312822.72499999998</v>
      </c>
      <c r="Z56">
        <v>60968.692000000003</v>
      </c>
      <c r="AA56">
        <v>406409.40199999994</v>
      </c>
      <c r="AB56">
        <v>11730.023999999999</v>
      </c>
      <c r="AC56">
        <v>12553.527</v>
      </c>
      <c r="AD56">
        <v>2609.105</v>
      </c>
      <c r="AE56">
        <v>26892.655999999999</v>
      </c>
      <c r="AF56">
        <v>3734.087</v>
      </c>
      <c r="AG56">
        <v>50866.05</v>
      </c>
      <c r="AH56">
        <v>24326.999</v>
      </c>
      <c r="AI56">
        <v>78927.135999999999</v>
      </c>
      <c r="AJ56">
        <v>272728.49199999997</v>
      </c>
      <c r="AK56">
        <v>486689.58499999996</v>
      </c>
      <c r="AL56">
        <v>236836.19000000003</v>
      </c>
      <c r="AM56">
        <v>996254.26699999999</v>
      </c>
    </row>
    <row r="57" spans="1:39" x14ac:dyDescent="0.2">
      <c r="A57" s="65">
        <v>43373</v>
      </c>
      <c r="B57" s="2">
        <f t="shared" si="0"/>
        <v>55.587644999999995</v>
      </c>
      <c r="C57">
        <v>46244.56</v>
      </c>
      <c r="D57">
        <v>5623.1970000000001</v>
      </c>
      <c r="E57">
        <v>3719.8879999999999</v>
      </c>
      <c r="F57">
        <v>55587.644999999997</v>
      </c>
      <c r="H57">
        <v>1466.9469999999999</v>
      </c>
      <c r="I57">
        <v>157.91399999999999</v>
      </c>
      <c r="J57">
        <v>152.108</v>
      </c>
      <c r="K57">
        <v>1776.9689999999998</v>
      </c>
      <c r="L57">
        <v>14560.477000000001</v>
      </c>
      <c r="M57">
        <v>5820.067</v>
      </c>
      <c r="N57">
        <v>40207.228000000003</v>
      </c>
      <c r="O57">
        <v>60587.772000000004</v>
      </c>
      <c r="P57">
        <v>34025.091</v>
      </c>
      <c r="Q57">
        <v>11354.031999999999</v>
      </c>
      <c r="R57">
        <v>49620.436999999998</v>
      </c>
      <c r="S57">
        <v>94999.56</v>
      </c>
      <c r="T57">
        <v>125766.966</v>
      </c>
      <c r="U57">
        <v>93725.664999999994</v>
      </c>
      <c r="V57">
        <v>53170.894999999997</v>
      </c>
      <c r="W57">
        <v>272663.52600000001</v>
      </c>
      <c r="X57">
        <v>33983.798999999999</v>
      </c>
      <c r="Y57">
        <v>315721.29399999999</v>
      </c>
      <c r="Z57">
        <v>59513.93</v>
      </c>
      <c r="AA57">
        <v>409219.02299999999</v>
      </c>
      <c r="AB57">
        <v>11862.378000000001</v>
      </c>
      <c r="AC57">
        <v>12724.482</v>
      </c>
      <c r="AD57">
        <v>2549.59</v>
      </c>
      <c r="AE57">
        <v>27136.45</v>
      </c>
      <c r="AF57">
        <v>4809.1629999999996</v>
      </c>
      <c r="AG57">
        <v>51219.188999999998</v>
      </c>
      <c r="AH57">
        <v>24182.518</v>
      </c>
      <c r="AI57">
        <v>80210.87</v>
      </c>
      <c r="AJ57">
        <v>272719.38099999999</v>
      </c>
      <c r="AK57">
        <v>496345.84</v>
      </c>
      <c r="AL57">
        <v>233116.59399999998</v>
      </c>
      <c r="AM57">
        <v>1002181.8149999999</v>
      </c>
    </row>
    <row r="58" spans="1:39" x14ac:dyDescent="0.2">
      <c r="A58" s="65">
        <v>43404</v>
      </c>
      <c r="B58" s="2">
        <f t="shared" si="0"/>
        <v>51.933115999999998</v>
      </c>
      <c r="C58">
        <v>45218.561000000002</v>
      </c>
      <c r="D58">
        <v>3415.3809999999999</v>
      </c>
      <c r="E58">
        <v>3299.174</v>
      </c>
      <c r="F58">
        <v>51933.116000000002</v>
      </c>
      <c r="H58">
        <v>1493.6130000000001</v>
      </c>
      <c r="I58">
        <v>137.23400000000001</v>
      </c>
      <c r="J58">
        <v>144.19399999999999</v>
      </c>
      <c r="K58">
        <v>1775.0409999999999</v>
      </c>
      <c r="L58">
        <v>16215.849</v>
      </c>
      <c r="M58">
        <v>5851.7110000000002</v>
      </c>
      <c r="N58">
        <v>30630.017</v>
      </c>
      <c r="O58">
        <v>52697.577000000005</v>
      </c>
      <c r="P58">
        <v>33405.631999999998</v>
      </c>
      <c r="Q58">
        <v>12341.388000000001</v>
      </c>
      <c r="R58">
        <v>46623.87</v>
      </c>
      <c r="S58">
        <v>92370.89</v>
      </c>
      <c r="T58">
        <v>118327.473</v>
      </c>
      <c r="U58">
        <v>95718.751000000004</v>
      </c>
      <c r="V58">
        <v>53135.542999999998</v>
      </c>
      <c r="W58">
        <v>267181.76699999999</v>
      </c>
      <c r="X58">
        <v>31858.36</v>
      </c>
      <c r="Y58">
        <v>307286.36800000002</v>
      </c>
      <c r="Z58">
        <v>59385.402000000002</v>
      </c>
      <c r="AA58">
        <v>398530.13</v>
      </c>
      <c r="AB58">
        <v>10154.607</v>
      </c>
      <c r="AC58">
        <v>9068.6309999999994</v>
      </c>
      <c r="AD58">
        <v>2592.422</v>
      </c>
      <c r="AE58">
        <v>21815.659999999996</v>
      </c>
      <c r="AF58">
        <v>3926.8</v>
      </c>
      <c r="AG58">
        <v>50474.798999999999</v>
      </c>
      <c r="AH58">
        <v>22981.957999999999</v>
      </c>
      <c r="AI58">
        <v>77383.557000000001</v>
      </c>
      <c r="AJ58">
        <v>260600.89499999999</v>
      </c>
      <c r="AK58">
        <v>484294.26299999998</v>
      </c>
      <c r="AL58">
        <v>218792.58</v>
      </c>
      <c r="AM58">
        <v>963687.7379999999</v>
      </c>
    </row>
    <row r="59" spans="1:39" x14ac:dyDescent="0.2">
      <c r="A59" s="65">
        <v>43434</v>
      </c>
      <c r="B59" s="2">
        <f t="shared" si="0"/>
        <v>47.143366</v>
      </c>
      <c r="C59">
        <v>40143.061999999998</v>
      </c>
      <c r="D59">
        <v>3316.3380000000002</v>
      </c>
      <c r="E59">
        <v>3683.9659999999999</v>
      </c>
      <c r="F59">
        <v>47143.366000000002</v>
      </c>
      <c r="H59">
        <v>1348.6420000000001</v>
      </c>
      <c r="I59">
        <v>140.929</v>
      </c>
      <c r="J59">
        <v>142.67500000000001</v>
      </c>
      <c r="K59">
        <v>1632.2460000000001</v>
      </c>
      <c r="L59">
        <v>11148.216</v>
      </c>
      <c r="M59">
        <v>5827.3019999999997</v>
      </c>
      <c r="N59">
        <v>42365.252</v>
      </c>
      <c r="O59">
        <v>59340.770000000004</v>
      </c>
      <c r="P59">
        <v>34996.281999999999</v>
      </c>
      <c r="Q59">
        <v>12322.995000000001</v>
      </c>
      <c r="R59">
        <v>46174.184999999998</v>
      </c>
      <c r="S59">
        <v>93493.462</v>
      </c>
      <c r="T59">
        <v>128644.71400000001</v>
      </c>
      <c r="U59">
        <v>94767.752999999997</v>
      </c>
      <c r="V59">
        <v>54483.1</v>
      </c>
      <c r="W59">
        <v>277895.56699999998</v>
      </c>
      <c r="X59">
        <v>33620.694000000003</v>
      </c>
      <c r="Y59">
        <v>309663.39399999997</v>
      </c>
      <c r="Z59">
        <v>58264.144999999997</v>
      </c>
      <c r="AA59">
        <v>401548.23300000001</v>
      </c>
      <c r="AB59">
        <v>12343.759</v>
      </c>
      <c r="AC59">
        <v>8731.8060000000005</v>
      </c>
      <c r="AD59">
        <v>3514.0819999999999</v>
      </c>
      <c r="AE59">
        <v>24589.647000000001</v>
      </c>
      <c r="AF59">
        <v>4953.6099999999997</v>
      </c>
      <c r="AG59">
        <v>50598.59</v>
      </c>
      <c r="AH59">
        <v>22610.115000000002</v>
      </c>
      <c r="AI59">
        <v>78162.315000000002</v>
      </c>
      <c r="AJ59">
        <v>267198.97899999999</v>
      </c>
      <c r="AK59">
        <v>485369.10699999996</v>
      </c>
      <c r="AL59">
        <v>231237.52</v>
      </c>
      <c r="AM59">
        <v>983805.60599999991</v>
      </c>
    </row>
    <row r="60" spans="1:39" x14ac:dyDescent="0.2">
      <c r="A60" s="65">
        <v>43465</v>
      </c>
      <c r="B60" s="2">
        <f t="shared" si="0"/>
        <v>47.289245000000001</v>
      </c>
      <c r="C60">
        <v>41034.728000000003</v>
      </c>
      <c r="D60">
        <v>3232.5230000000001</v>
      </c>
      <c r="E60">
        <v>3021.9940000000001</v>
      </c>
      <c r="F60">
        <v>47289.245000000003</v>
      </c>
      <c r="H60">
        <v>1111.4760000000001</v>
      </c>
      <c r="I60">
        <v>113.26</v>
      </c>
      <c r="J60">
        <v>129.45400000000001</v>
      </c>
      <c r="K60">
        <v>1354.19</v>
      </c>
      <c r="L60">
        <v>14205.082</v>
      </c>
      <c r="M60">
        <v>5672.9629999999997</v>
      </c>
      <c r="N60">
        <v>33033.726999999999</v>
      </c>
      <c r="O60">
        <v>52911.771999999997</v>
      </c>
      <c r="P60">
        <v>40202.94</v>
      </c>
      <c r="Q60">
        <v>12207.877</v>
      </c>
      <c r="R60">
        <v>37241.330999999998</v>
      </c>
      <c r="S60">
        <v>89652.148000000001</v>
      </c>
      <c r="T60">
        <v>128737.209</v>
      </c>
      <c r="U60">
        <v>97232.634999999995</v>
      </c>
      <c r="V60">
        <v>53750.845999999998</v>
      </c>
      <c r="W60">
        <v>279720.69</v>
      </c>
      <c r="X60">
        <v>36176.836000000003</v>
      </c>
      <c r="Y60">
        <v>313728.28000000003</v>
      </c>
      <c r="Z60">
        <v>58741</v>
      </c>
      <c r="AA60">
        <v>408646.11600000004</v>
      </c>
      <c r="AB60">
        <v>10313.585999999999</v>
      </c>
      <c r="AC60">
        <v>8893.7000000000007</v>
      </c>
      <c r="AD60">
        <v>2858.933</v>
      </c>
      <c r="AE60">
        <v>22066.219000000001</v>
      </c>
      <c r="AF60">
        <v>3377.502</v>
      </c>
      <c r="AG60">
        <v>50055.482000000004</v>
      </c>
      <c r="AH60">
        <v>22151.312000000002</v>
      </c>
      <c r="AI60">
        <v>75584.296000000002</v>
      </c>
      <c r="AJ60">
        <v>275159.359</v>
      </c>
      <c r="AK60">
        <v>491136.72000000009</v>
      </c>
      <c r="AL60">
        <v>210928.59699999998</v>
      </c>
      <c r="AM60">
        <v>977224.67600000009</v>
      </c>
    </row>
    <row r="61" spans="1:39" x14ac:dyDescent="0.2">
      <c r="A61" s="65">
        <v>43496</v>
      </c>
      <c r="B61" s="2">
        <f t="shared" si="0"/>
        <v>51.758696999999998</v>
      </c>
      <c r="C61">
        <v>44774.262000000002</v>
      </c>
      <c r="D61">
        <v>3869.1970000000001</v>
      </c>
      <c r="E61">
        <v>3115.2379999999998</v>
      </c>
      <c r="F61">
        <v>51758.697</v>
      </c>
      <c r="H61">
        <v>1155.9639999999999</v>
      </c>
      <c r="I61">
        <v>121.08799999999999</v>
      </c>
      <c r="J61">
        <v>139.536</v>
      </c>
      <c r="K61">
        <v>1416.588</v>
      </c>
      <c r="L61">
        <v>17804.938999999998</v>
      </c>
      <c r="M61">
        <v>4682.4740000000002</v>
      </c>
      <c r="N61">
        <v>27592.251</v>
      </c>
      <c r="O61">
        <v>50079.664000000004</v>
      </c>
      <c r="P61">
        <v>42889.517999999996</v>
      </c>
      <c r="Q61">
        <v>12470.376</v>
      </c>
      <c r="R61">
        <v>36912.326000000001</v>
      </c>
      <c r="S61">
        <v>92272.22</v>
      </c>
      <c r="T61">
        <v>138189.655</v>
      </c>
      <c r="U61">
        <v>99393.034</v>
      </c>
      <c r="V61">
        <v>56524.141000000003</v>
      </c>
      <c r="W61">
        <v>294106.83</v>
      </c>
      <c r="X61">
        <v>37524.17</v>
      </c>
      <c r="Y61">
        <v>325496.47899999999</v>
      </c>
      <c r="Z61">
        <v>60977.014999999999</v>
      </c>
      <c r="AA61">
        <v>423997.66399999999</v>
      </c>
      <c r="AB61">
        <v>11331.519</v>
      </c>
      <c r="AC61">
        <v>8890.2369999999992</v>
      </c>
      <c r="AD61">
        <v>5739.8689999999997</v>
      </c>
      <c r="AE61">
        <v>25961.625</v>
      </c>
      <c r="AF61">
        <v>4137.8310000000001</v>
      </c>
      <c r="AG61">
        <v>52812.595000000001</v>
      </c>
      <c r="AH61">
        <v>22834.564999999999</v>
      </c>
      <c r="AI61">
        <v>79784.990999999995</v>
      </c>
      <c r="AJ61">
        <v>297807.85800000001</v>
      </c>
      <c r="AK61">
        <v>507735.48000000004</v>
      </c>
      <c r="AL61">
        <v>213834.94099999999</v>
      </c>
      <c r="AM61">
        <v>1019378.279</v>
      </c>
    </row>
    <row r="62" spans="1:39" x14ac:dyDescent="0.2">
      <c r="A62" s="65">
        <v>43524</v>
      </c>
      <c r="B62" s="2">
        <f t="shared" si="0"/>
        <v>54.045829999999995</v>
      </c>
      <c r="C62">
        <v>46673.74</v>
      </c>
      <c r="D62">
        <v>4266.9539999999997</v>
      </c>
      <c r="E62">
        <v>3105.136</v>
      </c>
      <c r="F62">
        <v>54045.829999999994</v>
      </c>
      <c r="H62">
        <v>1521.394</v>
      </c>
      <c r="I62">
        <v>131.21100000000001</v>
      </c>
      <c r="J62">
        <v>133.41800000000001</v>
      </c>
      <c r="K62">
        <v>1786.0230000000001</v>
      </c>
      <c r="L62">
        <v>15634.203</v>
      </c>
      <c r="M62">
        <v>5910.4650000000001</v>
      </c>
      <c r="N62">
        <v>27783.69</v>
      </c>
      <c r="O62">
        <v>49328.357999999993</v>
      </c>
      <c r="P62">
        <v>38033.489000000001</v>
      </c>
      <c r="Q62">
        <v>11209.361000000001</v>
      </c>
      <c r="R62">
        <v>38636.025999999998</v>
      </c>
      <c r="S62">
        <v>87878.876000000004</v>
      </c>
      <c r="T62">
        <v>129661.024</v>
      </c>
      <c r="U62">
        <v>105167.033</v>
      </c>
      <c r="V62">
        <v>53520.351999999999</v>
      </c>
      <c r="W62">
        <v>288348.40899999999</v>
      </c>
      <c r="X62">
        <v>38581.258000000002</v>
      </c>
      <c r="Y62">
        <v>322850.05200000003</v>
      </c>
      <c r="Z62">
        <v>60200.735999999997</v>
      </c>
      <c r="AA62">
        <v>421632.04600000003</v>
      </c>
      <c r="AB62">
        <v>11409.197</v>
      </c>
      <c r="AC62">
        <v>8613.0190000000002</v>
      </c>
      <c r="AD62">
        <v>4732.3050000000003</v>
      </c>
      <c r="AE62">
        <v>24754.521000000001</v>
      </c>
      <c r="AF62">
        <v>3841.8229999999999</v>
      </c>
      <c r="AG62">
        <v>52757.887000000002</v>
      </c>
      <c r="AH62">
        <v>22574.041000000001</v>
      </c>
      <c r="AI62">
        <v>79173.751000000004</v>
      </c>
      <c r="AJ62">
        <v>285356.12799999997</v>
      </c>
      <c r="AK62">
        <v>510905.98199999996</v>
      </c>
      <c r="AL62">
        <v>210685.70399999997</v>
      </c>
      <c r="AM62">
        <v>1006947.8139999998</v>
      </c>
    </row>
    <row r="63" spans="1:39" x14ac:dyDescent="0.2">
      <c r="A63" s="65">
        <v>43555</v>
      </c>
      <c r="B63" s="2">
        <f t="shared" si="0"/>
        <v>51.885967000000001</v>
      </c>
      <c r="C63">
        <v>45224.809000000001</v>
      </c>
      <c r="D63">
        <v>3207.951</v>
      </c>
      <c r="E63">
        <v>3453.2069999999999</v>
      </c>
      <c r="F63">
        <v>51885.967000000004</v>
      </c>
      <c r="H63">
        <v>1505.9259999999999</v>
      </c>
      <c r="I63">
        <v>174.15600000000001</v>
      </c>
      <c r="J63">
        <v>128.93100000000001</v>
      </c>
      <c r="K63">
        <v>1809.0129999999999</v>
      </c>
      <c r="L63">
        <v>25301.597000000002</v>
      </c>
      <c r="M63">
        <v>6708.0860000000002</v>
      </c>
      <c r="N63">
        <v>22205.304</v>
      </c>
      <c r="O63">
        <v>54214.987000000001</v>
      </c>
      <c r="P63">
        <v>36529.673000000003</v>
      </c>
      <c r="Q63">
        <v>10726.823</v>
      </c>
      <c r="R63">
        <v>24263.381000000001</v>
      </c>
      <c r="S63">
        <v>71519.877000000008</v>
      </c>
      <c r="T63">
        <v>132490.03700000001</v>
      </c>
      <c r="U63">
        <v>98812.251000000004</v>
      </c>
      <c r="V63">
        <v>62231.917000000001</v>
      </c>
      <c r="W63">
        <v>293534.20500000002</v>
      </c>
      <c r="X63">
        <v>39261.095000000001</v>
      </c>
      <c r="Y63">
        <v>324911.821</v>
      </c>
      <c r="Z63">
        <v>59861.046999999999</v>
      </c>
      <c r="AA63">
        <v>424033.96299999999</v>
      </c>
      <c r="AB63">
        <v>11176.394</v>
      </c>
      <c r="AC63">
        <v>8833.1830000000009</v>
      </c>
      <c r="AD63">
        <v>4852.402</v>
      </c>
      <c r="AE63">
        <v>24861.978999999999</v>
      </c>
      <c r="AF63">
        <v>5376.3689999999997</v>
      </c>
      <c r="AG63">
        <v>53750.213000000003</v>
      </c>
      <c r="AH63">
        <v>21384.885999999999</v>
      </c>
      <c r="AI63">
        <v>80511.467999999993</v>
      </c>
      <c r="AJ63">
        <v>296865.90000000002</v>
      </c>
      <c r="AK63">
        <v>507124.484</v>
      </c>
      <c r="AL63">
        <v>198381.07500000001</v>
      </c>
      <c r="AM63">
        <v>1002371.459</v>
      </c>
    </row>
    <row r="64" spans="1:39" x14ac:dyDescent="0.2">
      <c r="A64" s="65">
        <v>43585</v>
      </c>
      <c r="B64" s="2">
        <f t="shared" si="0"/>
        <v>54.299320999999999</v>
      </c>
      <c r="C64">
        <v>46879.106</v>
      </c>
      <c r="D64">
        <v>4198.2479999999996</v>
      </c>
      <c r="E64">
        <v>3221.9670000000001</v>
      </c>
      <c r="F64">
        <v>54299.320999999996</v>
      </c>
      <c r="H64">
        <v>1626.9839999999999</v>
      </c>
      <c r="I64">
        <v>174.75399999999999</v>
      </c>
      <c r="J64">
        <v>136.65299999999999</v>
      </c>
      <c r="K64">
        <v>1938.3909999999998</v>
      </c>
      <c r="L64">
        <v>27809.887999999999</v>
      </c>
      <c r="M64">
        <v>6328.3770000000004</v>
      </c>
      <c r="N64">
        <v>25909.190999999999</v>
      </c>
      <c r="O64">
        <v>60047.455999999998</v>
      </c>
      <c r="P64">
        <v>43909.362999999998</v>
      </c>
      <c r="Q64">
        <v>10762.293</v>
      </c>
      <c r="R64">
        <v>23775.181</v>
      </c>
      <c r="S64">
        <v>78446.837</v>
      </c>
      <c r="T64">
        <v>140939.921</v>
      </c>
      <c r="U64">
        <v>103755.91</v>
      </c>
      <c r="V64">
        <v>69001.39</v>
      </c>
      <c r="W64">
        <v>313697.22100000002</v>
      </c>
      <c r="X64">
        <v>38906.980000000003</v>
      </c>
      <c r="Y64">
        <v>332060.56900000002</v>
      </c>
      <c r="Z64">
        <v>60631.315999999999</v>
      </c>
      <c r="AA64">
        <v>431598.86499999999</v>
      </c>
      <c r="AB64">
        <v>11732.388999999999</v>
      </c>
      <c r="AC64">
        <v>9454.2900000000009</v>
      </c>
      <c r="AD64">
        <v>3274.4650000000001</v>
      </c>
      <c r="AE64">
        <v>24461.144</v>
      </c>
      <c r="AF64">
        <v>4389.9859999999999</v>
      </c>
      <c r="AG64">
        <v>54153.559000000001</v>
      </c>
      <c r="AH64">
        <v>23061.951000000001</v>
      </c>
      <c r="AI64">
        <v>81605.495999999999</v>
      </c>
      <c r="AJ64">
        <v>316194.61699999997</v>
      </c>
      <c r="AK64">
        <v>520888</v>
      </c>
      <c r="AL64">
        <v>209012.114</v>
      </c>
      <c r="AM64">
        <v>1046094.7309999999</v>
      </c>
    </row>
    <row r="65" spans="1:39" x14ac:dyDescent="0.2">
      <c r="A65" s="65">
        <v>43616</v>
      </c>
      <c r="B65" s="2">
        <f t="shared" si="0"/>
        <v>54.564869000000002</v>
      </c>
      <c r="C65">
        <v>46977.002</v>
      </c>
      <c r="D65">
        <v>3809.3519999999999</v>
      </c>
      <c r="E65">
        <v>3778.5149999999999</v>
      </c>
      <c r="F65">
        <v>54564.868999999999</v>
      </c>
      <c r="H65">
        <v>2064.9740000000002</v>
      </c>
      <c r="I65">
        <v>181.42099999999999</v>
      </c>
      <c r="J65">
        <v>133.47399999999999</v>
      </c>
      <c r="K65">
        <v>2379.8690000000001</v>
      </c>
      <c r="L65">
        <v>28234.896000000001</v>
      </c>
      <c r="M65">
        <v>7375.0360000000001</v>
      </c>
      <c r="N65">
        <v>27599.439999999999</v>
      </c>
      <c r="O65">
        <v>63209.372000000003</v>
      </c>
      <c r="P65">
        <v>36444.851999999999</v>
      </c>
      <c r="Q65">
        <v>10798.199000000001</v>
      </c>
      <c r="R65">
        <v>26956.374</v>
      </c>
      <c r="S65">
        <v>74199.425000000003</v>
      </c>
      <c r="T65">
        <v>137779.56299999999</v>
      </c>
      <c r="U65">
        <v>102749.838</v>
      </c>
      <c r="V65">
        <v>74041.985000000001</v>
      </c>
      <c r="W65">
        <v>314571.386</v>
      </c>
      <c r="X65">
        <v>40208.129999999997</v>
      </c>
      <c r="Y65">
        <v>332470.23700000002</v>
      </c>
      <c r="Z65">
        <v>60670.214</v>
      </c>
      <c r="AA65">
        <v>433348.58100000001</v>
      </c>
      <c r="AB65">
        <v>10743.460999999999</v>
      </c>
      <c r="AC65">
        <v>9011.4689999999991</v>
      </c>
      <c r="AD65">
        <v>3017.2730000000001</v>
      </c>
      <c r="AE65">
        <v>22772.203000000001</v>
      </c>
      <c r="AF65">
        <v>4165.17</v>
      </c>
      <c r="AG65">
        <v>53631.271000000001</v>
      </c>
      <c r="AH65">
        <v>22981.562000000002</v>
      </c>
      <c r="AI65">
        <v>80778.002999999997</v>
      </c>
      <c r="AJ65">
        <v>306618.04800000001</v>
      </c>
      <c r="AK65">
        <v>520026.82300000003</v>
      </c>
      <c r="AL65">
        <v>219178.837</v>
      </c>
      <c r="AM65">
        <v>1045823.7080000001</v>
      </c>
    </row>
    <row r="66" spans="1:39" x14ac:dyDescent="0.2">
      <c r="A66" s="65">
        <v>43646</v>
      </c>
      <c r="B66" s="2">
        <f t="shared" si="0"/>
        <v>55.303432999999998</v>
      </c>
      <c r="C66">
        <v>48699.635999999999</v>
      </c>
      <c r="D66">
        <v>3354.1979999999999</v>
      </c>
      <c r="E66">
        <v>3249.5990000000002</v>
      </c>
      <c r="F66">
        <v>55303.432999999997</v>
      </c>
      <c r="H66">
        <v>2425.442</v>
      </c>
      <c r="I66">
        <v>438.78199999999998</v>
      </c>
      <c r="J66">
        <v>134.04499999999999</v>
      </c>
      <c r="K66">
        <v>2998.2690000000002</v>
      </c>
      <c r="L66">
        <v>28104.755000000001</v>
      </c>
      <c r="M66">
        <v>6781.3019999999997</v>
      </c>
      <c r="N66">
        <v>25166.893</v>
      </c>
      <c r="O66">
        <v>60052.95</v>
      </c>
      <c r="P66">
        <v>34860.921000000002</v>
      </c>
      <c r="Q66">
        <v>11808.034</v>
      </c>
      <c r="R66">
        <v>39776.286999999997</v>
      </c>
      <c r="S66">
        <v>86445.241999999998</v>
      </c>
      <c r="T66">
        <v>135374.69699999999</v>
      </c>
      <c r="U66">
        <v>101659.295</v>
      </c>
      <c r="V66">
        <v>55017.601999999999</v>
      </c>
      <c r="W66">
        <v>292051.59399999998</v>
      </c>
      <c r="X66">
        <v>42040.353000000003</v>
      </c>
      <c r="Y66">
        <v>334232.038</v>
      </c>
      <c r="Z66">
        <v>60647.366000000002</v>
      </c>
      <c r="AA66">
        <v>436919.75699999998</v>
      </c>
      <c r="AB66">
        <v>10931.09</v>
      </c>
      <c r="AC66">
        <v>9457.83</v>
      </c>
      <c r="AD66">
        <v>2966.951</v>
      </c>
      <c r="AE66">
        <v>23355.870999999999</v>
      </c>
      <c r="AF66">
        <v>7128.5839999999998</v>
      </c>
      <c r="AG66">
        <v>54678.902000000002</v>
      </c>
      <c r="AH66">
        <v>22775.101999999999</v>
      </c>
      <c r="AI66">
        <v>84582.588000000003</v>
      </c>
      <c r="AJ66">
        <v>309565.478</v>
      </c>
      <c r="AK66">
        <v>522410.38099999999</v>
      </c>
      <c r="AL66">
        <v>209733.84499999997</v>
      </c>
      <c r="AM66">
        <v>1041709.7039999999</v>
      </c>
    </row>
    <row r="67" spans="1:39" x14ac:dyDescent="0.2">
      <c r="A67" s="65">
        <v>43677</v>
      </c>
      <c r="B67" s="2">
        <f t="shared" si="0"/>
        <v>52.380257</v>
      </c>
      <c r="C67">
        <v>46387.205999999998</v>
      </c>
      <c r="D67">
        <v>3042.4920000000002</v>
      </c>
      <c r="E67">
        <v>2950.5590000000002</v>
      </c>
      <c r="F67">
        <v>52380.256999999998</v>
      </c>
      <c r="H67">
        <v>2677.375</v>
      </c>
      <c r="I67">
        <v>443.89600000000002</v>
      </c>
      <c r="J67">
        <v>136.066</v>
      </c>
      <c r="K67">
        <v>3257.337</v>
      </c>
      <c r="L67">
        <v>22918.883999999998</v>
      </c>
      <c r="M67">
        <v>7208.75</v>
      </c>
      <c r="N67">
        <v>17156.256000000001</v>
      </c>
      <c r="O67">
        <v>47283.89</v>
      </c>
      <c r="P67">
        <v>45793.555</v>
      </c>
      <c r="Q67">
        <v>9414.0490000000009</v>
      </c>
      <c r="R67">
        <v>43815.565000000002</v>
      </c>
      <c r="S67">
        <v>99023.168999999994</v>
      </c>
      <c r="T67">
        <v>134996.89199999999</v>
      </c>
      <c r="U67">
        <v>102145.117</v>
      </c>
      <c r="V67">
        <v>58729.029000000002</v>
      </c>
      <c r="W67">
        <v>295871.038</v>
      </c>
      <c r="X67">
        <v>42021.646000000001</v>
      </c>
      <c r="Y67">
        <v>338557.01199999999</v>
      </c>
      <c r="Z67">
        <v>61230.491999999998</v>
      </c>
      <c r="AA67">
        <v>441809.15</v>
      </c>
      <c r="AB67">
        <v>10798.432000000001</v>
      </c>
      <c r="AC67">
        <v>9478.2189999999991</v>
      </c>
      <c r="AD67">
        <v>3108.3380000000002</v>
      </c>
      <c r="AE67">
        <v>23384.988999999998</v>
      </c>
      <c r="AF67">
        <v>5038.5959999999995</v>
      </c>
      <c r="AG67">
        <v>55053.733999999997</v>
      </c>
      <c r="AH67">
        <v>22931.458999999999</v>
      </c>
      <c r="AI67">
        <v>83023.78899999999</v>
      </c>
      <c r="AJ67">
        <v>310632.58600000001</v>
      </c>
      <c r="AK67">
        <v>525343.26899999997</v>
      </c>
      <c r="AL67">
        <v>210057.764</v>
      </c>
      <c r="AM67">
        <v>1046033.6189999999</v>
      </c>
    </row>
    <row r="68" spans="1:39" x14ac:dyDescent="0.2">
      <c r="A68" s="65">
        <v>43708</v>
      </c>
      <c r="B68" s="2">
        <f t="shared" si="0"/>
        <v>57.515972999999995</v>
      </c>
      <c r="C68">
        <v>50717.618000000002</v>
      </c>
      <c r="D68">
        <v>3321.3180000000002</v>
      </c>
      <c r="E68">
        <v>3477.0369999999998</v>
      </c>
      <c r="F68">
        <v>57515.972999999998</v>
      </c>
      <c r="H68">
        <v>2470.1640000000002</v>
      </c>
      <c r="I68">
        <v>458.512</v>
      </c>
      <c r="J68">
        <v>386.11</v>
      </c>
      <c r="K68">
        <v>3314.7860000000005</v>
      </c>
      <c r="L68">
        <v>20100.400000000001</v>
      </c>
      <c r="M68">
        <v>8383.4529999999995</v>
      </c>
      <c r="N68">
        <v>18856.294000000002</v>
      </c>
      <c r="O68">
        <v>47340.147000000004</v>
      </c>
      <c r="P68">
        <v>48101.79</v>
      </c>
      <c r="Q68">
        <v>8622.7360000000008</v>
      </c>
      <c r="R68">
        <v>46353.976999999999</v>
      </c>
      <c r="S68">
        <v>103078.503</v>
      </c>
      <c r="T68">
        <v>144793.245</v>
      </c>
      <c r="U68">
        <v>109914.39200000001</v>
      </c>
      <c r="V68">
        <v>60924.449000000001</v>
      </c>
      <c r="W68">
        <v>315632.08600000001</v>
      </c>
      <c r="X68">
        <v>42579.692999999999</v>
      </c>
      <c r="Y68">
        <v>342964.63799999998</v>
      </c>
      <c r="Z68">
        <v>61208.332999999999</v>
      </c>
      <c r="AA68">
        <v>446752.66399999999</v>
      </c>
      <c r="AB68">
        <v>12877.841</v>
      </c>
      <c r="AC68">
        <v>9491.5560000000005</v>
      </c>
      <c r="AD68">
        <v>2877.0709999999999</v>
      </c>
      <c r="AE68">
        <v>25246.468000000001</v>
      </c>
      <c r="AF68">
        <v>5059.482</v>
      </c>
      <c r="AG68">
        <v>55146.169000000002</v>
      </c>
      <c r="AH68">
        <v>23551.437000000002</v>
      </c>
      <c r="AI68">
        <v>83757.088000000003</v>
      </c>
      <c r="AJ68">
        <v>326700.23300000007</v>
      </c>
      <c r="AK68">
        <v>538302.77399999998</v>
      </c>
      <c r="AL68">
        <v>217634.70800000001</v>
      </c>
      <c r="AM68">
        <v>1082637.7150000001</v>
      </c>
    </row>
    <row r="69" spans="1:39" x14ac:dyDescent="0.2">
      <c r="A69" s="65">
        <v>43738</v>
      </c>
      <c r="B69" s="2">
        <f t="shared" si="0"/>
        <v>55.575170000000007</v>
      </c>
      <c r="C69">
        <v>49076.548000000003</v>
      </c>
      <c r="D69">
        <v>3174.165</v>
      </c>
      <c r="E69">
        <v>3324.4569999999999</v>
      </c>
      <c r="F69">
        <v>55575.170000000006</v>
      </c>
      <c r="H69">
        <v>2518.5650000000001</v>
      </c>
      <c r="I69">
        <v>494.01799999999997</v>
      </c>
      <c r="J69">
        <v>384.23899999999998</v>
      </c>
      <c r="K69">
        <v>3396.8220000000001</v>
      </c>
      <c r="L69">
        <v>21801.065999999999</v>
      </c>
      <c r="M69">
        <v>6029.9009999999998</v>
      </c>
      <c r="N69">
        <v>16499.059000000001</v>
      </c>
      <c r="O69">
        <v>44330.025999999998</v>
      </c>
      <c r="P69">
        <v>52467.349000000002</v>
      </c>
      <c r="Q69">
        <v>12665.014999999999</v>
      </c>
      <c r="R69">
        <v>44217.093000000001</v>
      </c>
      <c r="S69">
        <v>109349.45699999999</v>
      </c>
      <c r="T69">
        <v>137218.307</v>
      </c>
      <c r="U69">
        <v>110730.77899999999</v>
      </c>
      <c r="V69">
        <v>57875.47</v>
      </c>
      <c r="W69">
        <v>305824.55599999998</v>
      </c>
      <c r="X69">
        <v>36955.43</v>
      </c>
      <c r="Y69">
        <v>342306.93199999997</v>
      </c>
      <c r="Z69">
        <v>60157.137000000002</v>
      </c>
      <c r="AA69">
        <v>439419.49899999995</v>
      </c>
      <c r="AB69">
        <v>11890.128000000001</v>
      </c>
      <c r="AC69">
        <v>9478.7549999999992</v>
      </c>
      <c r="AD69">
        <v>2879.848</v>
      </c>
      <c r="AE69">
        <v>24248.731</v>
      </c>
      <c r="AF69">
        <v>5023.4409999999998</v>
      </c>
      <c r="AG69">
        <v>54340.521999999997</v>
      </c>
      <c r="AH69">
        <v>23408.12</v>
      </c>
      <c r="AI69">
        <v>82772.082999999999</v>
      </c>
      <c r="AJ69">
        <v>316950.83400000003</v>
      </c>
      <c r="AK69">
        <v>539220.08699999994</v>
      </c>
      <c r="AL69">
        <v>208745.42300000001</v>
      </c>
      <c r="AM69">
        <v>1064916.344</v>
      </c>
    </row>
    <row r="70" spans="1:39" x14ac:dyDescent="0.2">
      <c r="A70" s="65">
        <v>43769</v>
      </c>
      <c r="B70" s="2">
        <f t="shared" si="0"/>
        <v>51.618113000000008</v>
      </c>
      <c r="C70">
        <v>44964.175000000003</v>
      </c>
      <c r="D70">
        <v>3602.0210000000002</v>
      </c>
      <c r="E70">
        <v>3051.9169999999999</v>
      </c>
      <c r="F70">
        <v>51618.113000000005</v>
      </c>
      <c r="H70">
        <v>2251.6260000000002</v>
      </c>
      <c r="I70">
        <v>459.017</v>
      </c>
      <c r="J70">
        <v>133.73500000000001</v>
      </c>
      <c r="K70">
        <v>2844.3780000000002</v>
      </c>
      <c r="L70">
        <v>14111.005999999999</v>
      </c>
      <c r="M70">
        <v>6300.76</v>
      </c>
      <c r="N70">
        <v>11352.174000000001</v>
      </c>
      <c r="O70">
        <v>31763.940000000002</v>
      </c>
      <c r="P70">
        <v>42359.79</v>
      </c>
      <c r="Q70">
        <v>11962.61</v>
      </c>
      <c r="R70">
        <v>49828.406000000003</v>
      </c>
      <c r="S70">
        <v>104150.80600000001</v>
      </c>
      <c r="T70">
        <v>150103.79300000001</v>
      </c>
      <c r="U70">
        <v>108739.82799999999</v>
      </c>
      <c r="V70">
        <v>64157.737000000001</v>
      </c>
      <c r="W70">
        <v>323001.35800000001</v>
      </c>
      <c r="X70">
        <v>39576.748</v>
      </c>
      <c r="Y70">
        <v>350933.51500000001</v>
      </c>
      <c r="Z70">
        <v>61436.313000000002</v>
      </c>
      <c r="AA70">
        <v>451946.57600000006</v>
      </c>
      <c r="AB70">
        <v>11083.745999999999</v>
      </c>
      <c r="AC70">
        <v>9717.9500000000007</v>
      </c>
      <c r="AD70">
        <v>3319.5889999999999</v>
      </c>
      <c r="AE70">
        <v>24121.285</v>
      </c>
      <c r="AF70">
        <v>5914.1949999999997</v>
      </c>
      <c r="AG70">
        <v>55787.737000000001</v>
      </c>
      <c r="AH70">
        <v>23679.129000000001</v>
      </c>
      <c r="AI70">
        <v>85381.061000000002</v>
      </c>
      <c r="AJ70">
        <v>310365.07900000003</v>
      </c>
      <c r="AK70">
        <v>547503.43799999997</v>
      </c>
      <c r="AL70">
        <v>216959.00000000003</v>
      </c>
      <c r="AM70">
        <v>1074827.517</v>
      </c>
    </row>
    <row r="71" spans="1:39" x14ac:dyDescent="0.2">
      <c r="A71" s="65">
        <v>43799</v>
      </c>
      <c r="B71" s="2">
        <f t="shared" si="0"/>
        <v>48.028931000000007</v>
      </c>
      <c r="C71">
        <v>41674.658000000003</v>
      </c>
      <c r="D71">
        <v>3138.9270000000001</v>
      </c>
      <c r="E71">
        <v>3215.346</v>
      </c>
      <c r="F71">
        <v>48028.931000000004</v>
      </c>
      <c r="H71">
        <v>2326.4369999999999</v>
      </c>
      <c r="I71">
        <v>488.99</v>
      </c>
      <c r="J71">
        <v>129.75899999999999</v>
      </c>
      <c r="K71">
        <v>2945.1859999999997</v>
      </c>
      <c r="L71">
        <v>12217.535</v>
      </c>
      <c r="M71">
        <v>5462.8329999999996</v>
      </c>
      <c r="N71">
        <v>11403.487999999999</v>
      </c>
      <c r="O71">
        <v>29083.856</v>
      </c>
      <c r="P71">
        <v>52034.048000000003</v>
      </c>
      <c r="Q71">
        <v>10419.166999999999</v>
      </c>
      <c r="R71">
        <v>32510.920999999998</v>
      </c>
      <c r="S71">
        <v>94964.135999999999</v>
      </c>
      <c r="T71">
        <v>150731.01199999999</v>
      </c>
      <c r="U71">
        <v>107251.23699999999</v>
      </c>
      <c r="V71">
        <v>79727.206999999995</v>
      </c>
      <c r="W71">
        <v>337709.45600000001</v>
      </c>
      <c r="X71">
        <v>39468.224999999999</v>
      </c>
      <c r="Y71">
        <v>351253.65299999999</v>
      </c>
      <c r="Z71">
        <v>60859.866999999998</v>
      </c>
      <c r="AA71">
        <v>451581.745</v>
      </c>
      <c r="AB71">
        <v>10799.800999999999</v>
      </c>
      <c r="AC71">
        <v>9400.8040000000001</v>
      </c>
      <c r="AD71">
        <v>3021.5230000000001</v>
      </c>
      <c r="AE71">
        <v>23222.128000000001</v>
      </c>
      <c r="AF71">
        <v>4877.1490000000003</v>
      </c>
      <c r="AG71">
        <v>54441.343999999997</v>
      </c>
      <c r="AH71">
        <v>23379.995999999999</v>
      </c>
      <c r="AI71">
        <v>82698.489000000001</v>
      </c>
      <c r="AJ71">
        <v>314128.86499999993</v>
      </c>
      <c r="AK71">
        <v>541856.95499999996</v>
      </c>
      <c r="AL71">
        <v>214248.10699999996</v>
      </c>
      <c r="AM71">
        <v>1070233.9269999997</v>
      </c>
    </row>
    <row r="72" spans="1:39" x14ac:dyDescent="0.2">
      <c r="A72" s="65">
        <v>43830</v>
      </c>
      <c r="B72" s="2">
        <f t="shared" si="0"/>
        <v>50.234755000000007</v>
      </c>
      <c r="C72">
        <v>44363.057000000001</v>
      </c>
      <c r="D72">
        <v>2954.877</v>
      </c>
      <c r="E72">
        <v>2916.8209999999999</v>
      </c>
      <c r="F72">
        <v>50234.755000000005</v>
      </c>
      <c r="H72">
        <v>1241.904</v>
      </c>
      <c r="I72">
        <v>413.72899999999998</v>
      </c>
      <c r="J72">
        <v>128.84899999999999</v>
      </c>
      <c r="K72">
        <v>1784.482</v>
      </c>
      <c r="L72">
        <v>11415.153</v>
      </c>
      <c r="M72">
        <v>6359.9989999999998</v>
      </c>
      <c r="N72">
        <v>13596.323</v>
      </c>
      <c r="O72">
        <v>31371.475000000002</v>
      </c>
      <c r="P72">
        <v>42661.57</v>
      </c>
      <c r="Q72">
        <v>11221.343999999999</v>
      </c>
      <c r="R72">
        <v>32756.883000000002</v>
      </c>
      <c r="S72">
        <v>86639.796999999991</v>
      </c>
      <c r="T72">
        <v>153617.52100000001</v>
      </c>
      <c r="U72">
        <v>111078.166</v>
      </c>
      <c r="V72">
        <v>80848.657999999996</v>
      </c>
      <c r="W72">
        <v>345544.34500000003</v>
      </c>
      <c r="X72">
        <v>38994.883000000002</v>
      </c>
      <c r="Y72">
        <v>352033.94799999997</v>
      </c>
      <c r="Z72">
        <v>60055.461000000003</v>
      </c>
      <c r="AA72">
        <v>451084.29200000002</v>
      </c>
      <c r="AB72">
        <v>10774.971</v>
      </c>
      <c r="AC72">
        <v>9489.2330000000002</v>
      </c>
      <c r="AD72">
        <v>2849.9670000000001</v>
      </c>
      <c r="AE72">
        <v>23114.170999999998</v>
      </c>
      <c r="AF72">
        <v>5485.2150000000001</v>
      </c>
      <c r="AG72">
        <v>56097.31</v>
      </c>
      <c r="AH72">
        <v>22608.287</v>
      </c>
      <c r="AI72">
        <v>84190.811999999991</v>
      </c>
      <c r="AJ72">
        <v>308554.27400000003</v>
      </c>
      <c r="AK72">
        <v>549648.60599999991</v>
      </c>
      <c r="AL72">
        <v>215761.24900000001</v>
      </c>
      <c r="AM72">
        <v>1073964.129</v>
      </c>
    </row>
    <row r="73" spans="1:39" x14ac:dyDescent="0.2">
      <c r="A73" s="65">
        <v>43861</v>
      </c>
      <c r="B73" s="2">
        <f t="shared" si="0"/>
        <v>49.789982999999999</v>
      </c>
      <c r="C73">
        <v>42747.5</v>
      </c>
      <c r="D73">
        <v>3070.6869999999999</v>
      </c>
      <c r="E73">
        <v>3971.7959999999998</v>
      </c>
      <c r="F73">
        <v>49789.983</v>
      </c>
      <c r="H73">
        <v>1464.6220000000001</v>
      </c>
      <c r="I73">
        <v>393.59800000000001</v>
      </c>
      <c r="J73">
        <v>135.126</v>
      </c>
      <c r="K73">
        <v>1993.346</v>
      </c>
      <c r="L73">
        <v>11813.837</v>
      </c>
      <c r="M73">
        <v>7375.857</v>
      </c>
      <c r="N73">
        <v>13747.746999999999</v>
      </c>
      <c r="O73">
        <v>32937.440999999999</v>
      </c>
      <c r="P73">
        <v>44426.978000000003</v>
      </c>
      <c r="Q73">
        <v>10975.409</v>
      </c>
      <c r="R73">
        <v>47779.294000000002</v>
      </c>
      <c r="S73">
        <v>103181.68100000001</v>
      </c>
      <c r="T73">
        <v>157343.465</v>
      </c>
      <c r="U73">
        <v>116516.541</v>
      </c>
      <c r="V73">
        <v>63349.641000000003</v>
      </c>
      <c r="W73">
        <v>337209.647</v>
      </c>
      <c r="X73">
        <v>50108.002</v>
      </c>
      <c r="Y73">
        <v>364711.71</v>
      </c>
      <c r="Z73">
        <v>61549.152000000002</v>
      </c>
      <c r="AA73">
        <v>476368.864</v>
      </c>
      <c r="AB73">
        <v>11531.425999999999</v>
      </c>
      <c r="AC73">
        <v>10324.692999999999</v>
      </c>
      <c r="AD73">
        <v>2581.759</v>
      </c>
      <c r="AE73">
        <v>24437.877999999997</v>
      </c>
      <c r="AF73">
        <v>5723.4489999999996</v>
      </c>
      <c r="AG73">
        <v>56832.591999999997</v>
      </c>
      <c r="AH73">
        <v>23347.13</v>
      </c>
      <c r="AI73">
        <v>85903.171000000002</v>
      </c>
      <c r="AJ73">
        <v>325159.27899999998</v>
      </c>
      <c r="AK73">
        <v>570201.08699999994</v>
      </c>
      <c r="AL73">
        <v>216461.64499999999</v>
      </c>
      <c r="AM73">
        <v>1111822.0109999999</v>
      </c>
    </row>
    <row r="74" spans="1:39" x14ac:dyDescent="0.2">
      <c r="A74" s="65">
        <v>43890</v>
      </c>
      <c r="B74" s="2">
        <f t="shared" si="0"/>
        <v>50.505904000000001</v>
      </c>
      <c r="C74">
        <v>44698.580999999998</v>
      </c>
      <c r="D74">
        <v>2953.2939999999999</v>
      </c>
      <c r="E74">
        <v>2854.029</v>
      </c>
      <c r="F74">
        <v>50505.904000000002</v>
      </c>
      <c r="H74">
        <v>1767.3389999999999</v>
      </c>
      <c r="I74">
        <v>397.14699999999999</v>
      </c>
      <c r="J74">
        <v>130.30699999999999</v>
      </c>
      <c r="K74">
        <v>2294.7930000000001</v>
      </c>
      <c r="L74">
        <v>11853.544</v>
      </c>
      <c r="M74">
        <v>6739.8810000000003</v>
      </c>
      <c r="N74">
        <v>13495.234</v>
      </c>
      <c r="O74">
        <v>32088.659</v>
      </c>
      <c r="P74">
        <v>58744.224999999999</v>
      </c>
      <c r="Q74">
        <v>9255.3889999999992</v>
      </c>
      <c r="R74">
        <v>42778.394999999997</v>
      </c>
      <c r="S74">
        <v>110778.00900000001</v>
      </c>
      <c r="T74">
        <v>161063.204</v>
      </c>
      <c r="U74">
        <v>117889.69100000001</v>
      </c>
      <c r="V74">
        <v>64986.269</v>
      </c>
      <c r="W74">
        <v>343939.16399999999</v>
      </c>
      <c r="X74">
        <v>51452.152999999998</v>
      </c>
      <c r="Y74">
        <v>364365.04399999999</v>
      </c>
      <c r="Z74">
        <v>60942.385000000002</v>
      </c>
      <c r="AA74">
        <v>476759.58199999999</v>
      </c>
      <c r="AB74">
        <v>11136.251</v>
      </c>
      <c r="AC74">
        <v>10874.486999999999</v>
      </c>
      <c r="AD74">
        <v>2722.5439999999999</v>
      </c>
      <c r="AE74">
        <v>24733.281999999999</v>
      </c>
      <c r="AF74">
        <v>5565.4120000000003</v>
      </c>
      <c r="AG74">
        <v>56507.464</v>
      </c>
      <c r="AH74">
        <v>23976.375</v>
      </c>
      <c r="AI74">
        <v>86049.251000000004</v>
      </c>
      <c r="AJ74">
        <v>346280.70899999997</v>
      </c>
      <c r="AK74">
        <v>568982.397</v>
      </c>
      <c r="AL74">
        <v>211885.538</v>
      </c>
      <c r="AM74">
        <v>1127148.6440000001</v>
      </c>
    </row>
    <row r="75" spans="1:39" x14ac:dyDescent="0.2">
      <c r="A75" s="65">
        <v>43921</v>
      </c>
      <c r="B75" s="2">
        <f t="shared" si="0"/>
        <v>47.664568000000003</v>
      </c>
      <c r="C75">
        <v>41909.864999999998</v>
      </c>
      <c r="D75">
        <v>2644.223</v>
      </c>
      <c r="E75">
        <v>3110.48</v>
      </c>
      <c r="F75">
        <v>47664.567999999999</v>
      </c>
      <c r="H75">
        <v>1769.558</v>
      </c>
      <c r="I75">
        <v>412.45600000000002</v>
      </c>
      <c r="J75">
        <v>125.42700000000001</v>
      </c>
      <c r="K75">
        <v>2307.4409999999998</v>
      </c>
      <c r="L75">
        <v>17782.096000000001</v>
      </c>
      <c r="M75">
        <v>8507.1669999999995</v>
      </c>
      <c r="N75">
        <v>13547.931</v>
      </c>
      <c r="O75">
        <v>39837.194000000003</v>
      </c>
      <c r="P75">
        <v>54725.991999999998</v>
      </c>
      <c r="Q75">
        <v>11120.089</v>
      </c>
      <c r="R75">
        <v>45708.862000000001</v>
      </c>
      <c r="S75">
        <v>111554.943</v>
      </c>
      <c r="T75">
        <v>157567.81700000001</v>
      </c>
      <c r="U75">
        <v>130631.85799999999</v>
      </c>
      <c r="V75">
        <v>65669.346999999994</v>
      </c>
      <c r="W75">
        <v>353869.022</v>
      </c>
      <c r="X75">
        <v>48411.137000000002</v>
      </c>
      <c r="Y75">
        <v>364731.49099999998</v>
      </c>
      <c r="Z75">
        <v>61013.682999999997</v>
      </c>
      <c r="AA75">
        <v>474156.31099999999</v>
      </c>
      <c r="AB75">
        <v>10483.445</v>
      </c>
      <c r="AC75">
        <v>11915.423000000001</v>
      </c>
      <c r="AD75">
        <v>2511.462</v>
      </c>
      <c r="AE75">
        <v>24910.33</v>
      </c>
      <c r="AF75">
        <v>5151.1899999999996</v>
      </c>
      <c r="AG75">
        <v>55899.298000000003</v>
      </c>
      <c r="AH75">
        <v>23129.312000000002</v>
      </c>
      <c r="AI75">
        <v>84179.8</v>
      </c>
      <c r="AJ75">
        <v>337801.1</v>
      </c>
      <c r="AK75">
        <v>585862.005</v>
      </c>
      <c r="AL75">
        <v>214816.50399999999</v>
      </c>
      <c r="AM75">
        <v>1138479.6089999999</v>
      </c>
    </row>
    <row r="76" spans="1:39" x14ac:dyDescent="0.2">
      <c r="A76" s="65">
        <v>43951</v>
      </c>
      <c r="B76" s="2">
        <f t="shared" si="0"/>
        <v>48.940866999999997</v>
      </c>
      <c r="C76">
        <v>43700.998</v>
      </c>
      <c r="D76">
        <v>2556.8780000000002</v>
      </c>
      <c r="E76">
        <v>2682.991</v>
      </c>
      <c r="F76">
        <v>48940.866999999998</v>
      </c>
      <c r="H76">
        <v>2237.3989999999999</v>
      </c>
      <c r="I76">
        <v>405.40300000000002</v>
      </c>
      <c r="J76">
        <v>133.08699999999999</v>
      </c>
      <c r="K76">
        <v>2775.8890000000001</v>
      </c>
      <c r="L76">
        <v>15346.578</v>
      </c>
      <c r="M76">
        <v>8418.4750000000004</v>
      </c>
      <c r="N76">
        <v>14598.107</v>
      </c>
      <c r="O76">
        <v>38363.160000000003</v>
      </c>
      <c r="P76">
        <v>49439.949000000001</v>
      </c>
      <c r="Q76">
        <v>10793.396000000001</v>
      </c>
      <c r="R76">
        <v>46729.404000000002</v>
      </c>
      <c r="S76">
        <v>106962.749</v>
      </c>
      <c r="T76">
        <v>157134.83499999999</v>
      </c>
      <c r="U76">
        <v>114696.284</v>
      </c>
      <c r="V76">
        <v>63717.237999999998</v>
      </c>
      <c r="W76">
        <v>335548.35700000002</v>
      </c>
      <c r="X76">
        <v>53478.86</v>
      </c>
      <c r="Y76">
        <v>379764.86700000003</v>
      </c>
      <c r="Z76">
        <v>63041.536999999997</v>
      </c>
      <c r="AA76">
        <v>496285.26400000002</v>
      </c>
      <c r="AB76">
        <v>10928.096</v>
      </c>
      <c r="AC76">
        <v>12207.132</v>
      </c>
      <c r="AD76">
        <v>2543.21</v>
      </c>
      <c r="AE76">
        <v>25678.437999999998</v>
      </c>
      <c r="AF76">
        <v>6282.4110000000001</v>
      </c>
      <c r="AG76">
        <v>57805.834000000003</v>
      </c>
      <c r="AH76">
        <v>24537.484</v>
      </c>
      <c r="AI76">
        <v>88625.729000000007</v>
      </c>
      <c r="AJ76">
        <v>338549.12599999999</v>
      </c>
      <c r="AK76">
        <v>586648.26899999997</v>
      </c>
      <c r="AL76">
        <v>217983.05799999999</v>
      </c>
      <c r="AM76">
        <v>1143180.453</v>
      </c>
    </row>
    <row r="77" spans="1:39" x14ac:dyDescent="0.2">
      <c r="A77" s="65">
        <v>43982</v>
      </c>
      <c r="B77" s="2">
        <f t="shared" si="0"/>
        <v>51.198760999999998</v>
      </c>
      <c r="C77">
        <v>45896.572999999997</v>
      </c>
      <c r="D77">
        <v>2578.44</v>
      </c>
      <c r="E77">
        <v>2723.748</v>
      </c>
      <c r="F77">
        <v>51198.760999999999</v>
      </c>
      <c r="H77">
        <v>1829.5160000000001</v>
      </c>
      <c r="I77">
        <v>420.90899999999999</v>
      </c>
      <c r="J77">
        <v>133.59700000000001</v>
      </c>
      <c r="K77">
        <v>2384.0219999999999</v>
      </c>
      <c r="L77">
        <v>15315.351000000001</v>
      </c>
      <c r="M77">
        <v>6424.2610000000004</v>
      </c>
      <c r="N77">
        <v>12942.317999999999</v>
      </c>
      <c r="O77">
        <v>34681.93</v>
      </c>
      <c r="P77">
        <v>55284.06</v>
      </c>
      <c r="Q77">
        <v>10007.799999999999</v>
      </c>
      <c r="R77">
        <v>52562.038</v>
      </c>
      <c r="S77">
        <v>117853.898</v>
      </c>
      <c r="T77">
        <v>155404.897</v>
      </c>
      <c r="U77">
        <v>124904.389</v>
      </c>
      <c r="V77">
        <v>62257.370999999999</v>
      </c>
      <c r="W77">
        <v>342566.65700000001</v>
      </c>
      <c r="X77">
        <v>53676.964</v>
      </c>
      <c r="Y77">
        <v>386004.37699999998</v>
      </c>
      <c r="Z77">
        <v>63132.286999999997</v>
      </c>
      <c r="AA77">
        <v>502813.62800000003</v>
      </c>
      <c r="AB77">
        <v>10942.483</v>
      </c>
      <c r="AC77">
        <v>12025.630999999999</v>
      </c>
      <c r="AD77">
        <v>2555.9760000000001</v>
      </c>
      <c r="AE77">
        <v>25524.09</v>
      </c>
      <c r="AF77">
        <v>5876.5739999999996</v>
      </c>
      <c r="AG77">
        <v>58124.735000000001</v>
      </c>
      <c r="AH77">
        <v>24413.86</v>
      </c>
      <c r="AI77">
        <v>88415.168999999994</v>
      </c>
      <c r="AJ77">
        <v>344226.41800000001</v>
      </c>
      <c r="AK77">
        <v>600490.54200000002</v>
      </c>
      <c r="AL77">
        <v>220721.19500000001</v>
      </c>
      <c r="AM77">
        <v>1165438.155</v>
      </c>
    </row>
    <row r="78" spans="1:39" x14ac:dyDescent="0.2">
      <c r="A78" s="65">
        <v>44012</v>
      </c>
      <c r="B78" s="2">
        <f t="shared" ref="B78:B90" si="1">F78/1000</f>
        <v>49.076841999999999</v>
      </c>
      <c r="C78">
        <v>43608.536</v>
      </c>
      <c r="D78">
        <v>2634.971</v>
      </c>
      <c r="E78">
        <v>2833.335</v>
      </c>
      <c r="F78">
        <v>49076.841999999997</v>
      </c>
      <c r="H78">
        <v>2035.2380000000001</v>
      </c>
      <c r="I78">
        <v>394.31700000000001</v>
      </c>
      <c r="J78">
        <v>131.59299999999999</v>
      </c>
      <c r="K78">
        <v>2561.1480000000001</v>
      </c>
      <c r="L78">
        <v>15712.869000000001</v>
      </c>
      <c r="M78">
        <v>6783.4449999999997</v>
      </c>
      <c r="N78">
        <v>11844.424000000001</v>
      </c>
      <c r="O78">
        <v>34340.737999999998</v>
      </c>
      <c r="P78">
        <v>51503.281000000003</v>
      </c>
      <c r="Q78">
        <v>9934.3680000000004</v>
      </c>
      <c r="R78">
        <v>49443.396999999997</v>
      </c>
      <c r="S78">
        <v>110881.046</v>
      </c>
      <c r="T78">
        <v>153327.65599999999</v>
      </c>
      <c r="U78">
        <v>124598.899</v>
      </c>
      <c r="V78">
        <v>65327.040999999997</v>
      </c>
      <c r="W78">
        <v>343253.59600000002</v>
      </c>
      <c r="X78">
        <v>53294.775000000001</v>
      </c>
      <c r="Y78">
        <v>384265.24099999998</v>
      </c>
      <c r="Z78">
        <v>62928.404999999999</v>
      </c>
      <c r="AA78">
        <v>500488.42099999997</v>
      </c>
      <c r="AB78">
        <v>10743.328</v>
      </c>
      <c r="AC78">
        <v>11690.495000000001</v>
      </c>
      <c r="AD78">
        <v>2891.78</v>
      </c>
      <c r="AE78">
        <v>25325.602999999999</v>
      </c>
      <c r="AF78">
        <v>5815.5420000000004</v>
      </c>
      <c r="AG78">
        <v>59244.506999999998</v>
      </c>
      <c r="AH78">
        <v>23367.125</v>
      </c>
      <c r="AI78">
        <v>88427.173999999999</v>
      </c>
      <c r="AJ78">
        <v>336041.22499999998</v>
      </c>
      <c r="AK78">
        <v>599546.24300000002</v>
      </c>
      <c r="AL78">
        <v>218767.1</v>
      </c>
      <c r="AM78">
        <v>1154354.568</v>
      </c>
    </row>
    <row r="79" spans="1:39" x14ac:dyDescent="0.2">
      <c r="A79" s="65">
        <v>44043</v>
      </c>
      <c r="B79" s="2">
        <f t="shared" si="1"/>
        <v>54.764050000000005</v>
      </c>
      <c r="C79">
        <v>48072.071000000004</v>
      </c>
      <c r="D79">
        <v>3263.489</v>
      </c>
      <c r="E79">
        <v>3428.49</v>
      </c>
      <c r="F79">
        <v>54764.05</v>
      </c>
      <c r="H79">
        <v>2019.0119999999999</v>
      </c>
      <c r="I79">
        <v>417.30099999999999</v>
      </c>
      <c r="J79">
        <v>143.00200000000001</v>
      </c>
      <c r="K79">
        <v>2579.3150000000001</v>
      </c>
      <c r="L79">
        <v>21136.444</v>
      </c>
      <c r="M79">
        <v>5641.2250000000004</v>
      </c>
      <c r="N79">
        <v>13051.418</v>
      </c>
      <c r="O79">
        <v>39829.087</v>
      </c>
      <c r="P79">
        <v>53551.254999999997</v>
      </c>
      <c r="Q79">
        <v>9937.4599999999991</v>
      </c>
      <c r="R79">
        <v>55731.002</v>
      </c>
      <c r="S79">
        <v>119219.717</v>
      </c>
      <c r="T79">
        <v>163413.889</v>
      </c>
      <c r="U79">
        <v>133702.818</v>
      </c>
      <c r="V79">
        <v>69474.695999999996</v>
      </c>
      <c r="W79">
        <v>366591.40299999999</v>
      </c>
      <c r="X79">
        <v>57166.03</v>
      </c>
      <c r="Y79">
        <v>398010.255</v>
      </c>
      <c r="Z79">
        <v>64809.737000000001</v>
      </c>
      <c r="AA79">
        <v>519986.022</v>
      </c>
      <c r="AB79">
        <v>11244.852999999999</v>
      </c>
      <c r="AC79">
        <v>11978.261</v>
      </c>
      <c r="AD79">
        <v>2979.1350000000002</v>
      </c>
      <c r="AE79">
        <v>26202.249</v>
      </c>
      <c r="AF79">
        <v>6240.5990000000002</v>
      </c>
      <c r="AG79">
        <v>62041.921000000002</v>
      </c>
      <c r="AH79">
        <v>23989.473000000002</v>
      </c>
      <c r="AI79">
        <v>92271.993000000002</v>
      </c>
      <c r="AJ79">
        <v>362844.15299999999</v>
      </c>
      <c r="AK79">
        <v>624992.73</v>
      </c>
      <c r="AL79">
        <v>233606.95300000001</v>
      </c>
      <c r="AM79">
        <v>1221443.8359999999</v>
      </c>
    </row>
    <row r="80" spans="1:39" x14ac:dyDescent="0.2">
      <c r="A80" s="65">
        <v>44074</v>
      </c>
      <c r="B80" s="2">
        <f t="shared" si="1"/>
        <v>51.020641000000005</v>
      </c>
      <c r="C80">
        <v>44633.311000000002</v>
      </c>
      <c r="D80">
        <v>3206.2109999999998</v>
      </c>
      <c r="E80">
        <v>3181.1190000000001</v>
      </c>
      <c r="F80">
        <v>51020.641000000003</v>
      </c>
      <c r="H80">
        <v>3640.9140000000002</v>
      </c>
      <c r="I80">
        <v>432.24900000000002</v>
      </c>
      <c r="J80">
        <v>346.30700000000002</v>
      </c>
      <c r="K80">
        <v>4419.47</v>
      </c>
      <c r="L80">
        <v>19615.481</v>
      </c>
      <c r="M80">
        <v>7849.8440000000001</v>
      </c>
      <c r="N80">
        <v>15528.68</v>
      </c>
      <c r="O80">
        <v>42994.004999999997</v>
      </c>
      <c r="P80">
        <v>54097.260999999999</v>
      </c>
      <c r="Q80">
        <v>10855.017</v>
      </c>
      <c r="R80">
        <v>52905.652999999998</v>
      </c>
      <c r="S80">
        <v>117857.931</v>
      </c>
      <c r="T80">
        <v>169903.19500000001</v>
      </c>
      <c r="U80">
        <v>132416.78599999999</v>
      </c>
      <c r="V80">
        <v>76990.883000000002</v>
      </c>
      <c r="W80">
        <v>379310.864</v>
      </c>
      <c r="X80">
        <v>56110.3</v>
      </c>
      <c r="Y80">
        <v>404717.28100000002</v>
      </c>
      <c r="Z80">
        <v>64973.561000000002</v>
      </c>
      <c r="AA80">
        <v>525801.14199999999</v>
      </c>
      <c r="AB80">
        <v>11642.659</v>
      </c>
      <c r="AC80">
        <v>11679.814</v>
      </c>
      <c r="AD80">
        <v>2871.8</v>
      </c>
      <c r="AE80">
        <v>26194.273000000001</v>
      </c>
      <c r="AF80">
        <v>6296.317</v>
      </c>
      <c r="AG80">
        <v>62957.999000000003</v>
      </c>
      <c r="AH80">
        <v>24197.652999999998</v>
      </c>
      <c r="AI80">
        <v>93451.968999999997</v>
      </c>
      <c r="AJ80">
        <v>365939.43800000002</v>
      </c>
      <c r="AK80">
        <v>634115.201</v>
      </c>
      <c r="AL80">
        <v>240995.65599999999</v>
      </c>
      <c r="AM80">
        <v>1241050.2949999999</v>
      </c>
    </row>
    <row r="81" spans="1:39" x14ac:dyDescent="0.2">
      <c r="A81" s="65">
        <v>44104</v>
      </c>
      <c r="B81" s="2">
        <f t="shared" si="1"/>
        <v>53.179374000000003</v>
      </c>
      <c r="C81">
        <v>47309.521000000001</v>
      </c>
      <c r="D81">
        <v>2935.4160000000002</v>
      </c>
      <c r="E81">
        <v>2934.4369999999999</v>
      </c>
      <c r="F81">
        <v>53179.374000000003</v>
      </c>
      <c r="H81">
        <v>2320.136</v>
      </c>
      <c r="I81">
        <v>428.96</v>
      </c>
      <c r="J81">
        <v>222.14500000000001</v>
      </c>
      <c r="K81">
        <v>2971.241</v>
      </c>
      <c r="L81">
        <v>17515.739000000001</v>
      </c>
      <c r="M81">
        <v>8015.7470000000003</v>
      </c>
      <c r="N81">
        <v>15727.694</v>
      </c>
      <c r="O81">
        <v>41259.18</v>
      </c>
      <c r="P81">
        <v>64831.514000000003</v>
      </c>
      <c r="Q81">
        <v>14481.324000000001</v>
      </c>
      <c r="R81">
        <v>51160.593999999997</v>
      </c>
      <c r="S81">
        <v>130473.432</v>
      </c>
      <c r="T81">
        <v>163778.64799999999</v>
      </c>
      <c r="U81">
        <v>129315.13</v>
      </c>
      <c r="V81">
        <v>79588.394</v>
      </c>
      <c r="W81">
        <v>372682.17200000002</v>
      </c>
      <c r="X81">
        <v>55445.796999999999</v>
      </c>
      <c r="Y81">
        <v>401326.26799999998</v>
      </c>
      <c r="Z81">
        <v>63991.972999999998</v>
      </c>
      <c r="AA81">
        <v>520764.038</v>
      </c>
      <c r="AB81">
        <v>11703.156999999999</v>
      </c>
      <c r="AC81">
        <v>11680.388000000001</v>
      </c>
      <c r="AD81">
        <v>2833.6869999999999</v>
      </c>
      <c r="AE81">
        <v>26217.232</v>
      </c>
      <c r="AF81">
        <v>7247.3639999999996</v>
      </c>
      <c r="AG81">
        <v>61661.561000000002</v>
      </c>
      <c r="AH81">
        <v>23385.213</v>
      </c>
      <c r="AI81">
        <v>92294.138000000006</v>
      </c>
      <c r="AJ81">
        <v>370151.87599999999</v>
      </c>
      <c r="AK81">
        <v>629844.79399999999</v>
      </c>
      <c r="AL81">
        <v>239844.13699999999</v>
      </c>
      <c r="AM81">
        <v>1239840.807</v>
      </c>
    </row>
    <row r="82" spans="1:39" x14ac:dyDescent="0.2">
      <c r="A82" s="65">
        <v>44135</v>
      </c>
      <c r="B82" s="2">
        <f t="shared" si="1"/>
        <v>51.182690999999998</v>
      </c>
      <c r="C82">
        <v>44544.146000000001</v>
      </c>
      <c r="D82">
        <v>3160.4490000000001</v>
      </c>
      <c r="E82">
        <v>3478.096</v>
      </c>
      <c r="F82">
        <v>51182.690999999999</v>
      </c>
      <c r="H82">
        <v>2891.7429999999999</v>
      </c>
      <c r="I82">
        <v>405.50099999999998</v>
      </c>
      <c r="J82">
        <v>222.292</v>
      </c>
      <c r="K82">
        <v>3519.5360000000001</v>
      </c>
      <c r="L82">
        <v>13649.745999999999</v>
      </c>
      <c r="M82">
        <v>7267.42</v>
      </c>
      <c r="N82">
        <v>16715.077000000001</v>
      </c>
      <c r="O82">
        <v>37632.243000000002</v>
      </c>
      <c r="P82">
        <v>61448.165999999997</v>
      </c>
      <c r="Q82">
        <v>12848.856</v>
      </c>
      <c r="R82">
        <v>58134.694000000003</v>
      </c>
      <c r="S82">
        <v>132431.71599999999</v>
      </c>
      <c r="T82">
        <v>162770.27299999999</v>
      </c>
      <c r="U82">
        <v>137869.196</v>
      </c>
      <c r="V82">
        <v>72191.820999999996</v>
      </c>
      <c r="W82">
        <v>372831.29</v>
      </c>
      <c r="X82">
        <v>54856.963000000003</v>
      </c>
      <c r="Y82">
        <v>411158.67800000001</v>
      </c>
      <c r="Z82">
        <v>64289.616000000002</v>
      </c>
      <c r="AA82">
        <v>530305.25699999998</v>
      </c>
      <c r="AB82">
        <v>11691.295</v>
      </c>
      <c r="AC82">
        <v>11773.834999999999</v>
      </c>
      <c r="AD82">
        <v>2847.5479999999998</v>
      </c>
      <c r="AE82">
        <v>26312.678</v>
      </c>
      <c r="AF82">
        <v>6064.7669999999998</v>
      </c>
      <c r="AG82">
        <v>62869.684000000001</v>
      </c>
      <c r="AH82">
        <v>24212.670999999998</v>
      </c>
      <c r="AI82">
        <v>93147.122000000003</v>
      </c>
      <c r="AJ82">
        <v>357917.09899999999</v>
      </c>
      <c r="AK82">
        <v>647353.61899999995</v>
      </c>
      <c r="AL82">
        <v>242091.815</v>
      </c>
      <c r="AM82">
        <v>1247362.5330000001</v>
      </c>
    </row>
    <row r="83" spans="1:39" x14ac:dyDescent="0.2">
      <c r="A83" s="65">
        <v>44165</v>
      </c>
      <c r="B83" s="2">
        <f t="shared" si="1"/>
        <v>46.317892999999998</v>
      </c>
      <c r="C83">
        <v>39798.087</v>
      </c>
      <c r="D83">
        <v>3229.1619999999998</v>
      </c>
      <c r="E83">
        <v>3290.6439999999998</v>
      </c>
      <c r="F83">
        <v>46317.892999999996</v>
      </c>
      <c r="H83">
        <v>2021.0820000000001</v>
      </c>
      <c r="I83">
        <v>402.48500000000001</v>
      </c>
      <c r="J83">
        <v>222.34100000000001</v>
      </c>
      <c r="K83">
        <v>2645.9079999999999</v>
      </c>
      <c r="L83">
        <v>16149.732</v>
      </c>
      <c r="M83">
        <v>8352.6229999999996</v>
      </c>
      <c r="N83">
        <v>18190.314999999999</v>
      </c>
      <c r="O83">
        <v>42692.67</v>
      </c>
      <c r="P83">
        <v>54746.375</v>
      </c>
      <c r="Q83">
        <v>10955.281000000001</v>
      </c>
      <c r="R83">
        <v>61395.046999999999</v>
      </c>
      <c r="S83">
        <v>127096.70299999999</v>
      </c>
      <c r="T83">
        <v>167668.149</v>
      </c>
      <c r="U83">
        <v>134082.46799999999</v>
      </c>
      <c r="V83">
        <v>81684.635999999999</v>
      </c>
      <c r="W83">
        <v>383435.25300000003</v>
      </c>
      <c r="X83">
        <v>57536.389000000003</v>
      </c>
      <c r="Y83">
        <v>414742.462</v>
      </c>
      <c r="Z83">
        <v>63397.523999999998</v>
      </c>
      <c r="AA83">
        <v>535676.375</v>
      </c>
      <c r="AB83">
        <v>11379.654</v>
      </c>
      <c r="AC83">
        <v>11535.576999999999</v>
      </c>
      <c r="AD83">
        <v>3349.819</v>
      </c>
      <c r="AE83">
        <v>26265.05</v>
      </c>
      <c r="AF83">
        <v>6169.9979999999996</v>
      </c>
      <c r="AG83">
        <v>64165.019</v>
      </c>
      <c r="AH83">
        <v>24265.421999999999</v>
      </c>
      <c r="AI83">
        <v>94600.438999999998</v>
      </c>
      <c r="AJ83">
        <v>355469.46600000001</v>
      </c>
      <c r="AK83">
        <v>647465.07700000005</v>
      </c>
      <c r="AL83">
        <v>255795.74799999999</v>
      </c>
      <c r="AM83">
        <v>1258730.291</v>
      </c>
    </row>
    <row r="84" spans="1:39" x14ac:dyDescent="0.2">
      <c r="A84" s="65">
        <v>44196</v>
      </c>
      <c r="B84" s="2">
        <f t="shared" si="1"/>
        <v>42.725617</v>
      </c>
      <c r="C84">
        <v>36765.612999999998</v>
      </c>
      <c r="D84">
        <v>3034.6709999999998</v>
      </c>
      <c r="E84">
        <v>2925.3330000000001</v>
      </c>
      <c r="F84">
        <v>42725.616999999998</v>
      </c>
      <c r="H84">
        <v>1501.242</v>
      </c>
      <c r="I84">
        <v>320.44799999999998</v>
      </c>
      <c r="J84">
        <v>222.20599999999999</v>
      </c>
      <c r="K84">
        <v>2043.896</v>
      </c>
      <c r="L84">
        <v>12105.458000000001</v>
      </c>
      <c r="M84">
        <v>6135.1620000000003</v>
      </c>
      <c r="N84">
        <v>18944.258999999998</v>
      </c>
      <c r="O84">
        <v>37184.879000000001</v>
      </c>
      <c r="P84">
        <v>68257.414000000004</v>
      </c>
      <c r="Q84">
        <v>10583.013999999999</v>
      </c>
      <c r="R84">
        <v>61902.747000000003</v>
      </c>
      <c r="S84">
        <v>140743.17499999999</v>
      </c>
      <c r="T84">
        <v>159644.34700000001</v>
      </c>
      <c r="U84">
        <v>134678.80600000001</v>
      </c>
      <c r="V84">
        <v>83052.407000000007</v>
      </c>
      <c r="W84">
        <v>377375.56</v>
      </c>
      <c r="X84">
        <v>57697.392</v>
      </c>
      <c r="Y84">
        <v>414583.24</v>
      </c>
      <c r="Z84">
        <v>62718.972000000002</v>
      </c>
      <c r="AA84">
        <v>534999.60400000005</v>
      </c>
      <c r="AB84">
        <v>11204.669</v>
      </c>
      <c r="AC84">
        <v>12163.861999999999</v>
      </c>
      <c r="AD84">
        <v>3175.895</v>
      </c>
      <c r="AE84">
        <v>26544.425999999999</v>
      </c>
      <c r="AF84">
        <v>5815.2730000000001</v>
      </c>
      <c r="AG84">
        <v>64850.402000000002</v>
      </c>
      <c r="AH84">
        <v>23015.776999999998</v>
      </c>
      <c r="AI84">
        <v>93681.452000000005</v>
      </c>
      <c r="AJ84">
        <v>352991.408</v>
      </c>
      <c r="AK84">
        <v>646349.60499999998</v>
      </c>
      <c r="AL84">
        <v>255957.59599999999</v>
      </c>
      <c r="AM84">
        <v>1255298.6089999999</v>
      </c>
    </row>
    <row r="85" spans="1:39" x14ac:dyDescent="0.2">
      <c r="A85" s="65">
        <v>44227</v>
      </c>
      <c r="B85" s="2">
        <f t="shared" si="1"/>
        <v>42.657771999999994</v>
      </c>
      <c r="C85">
        <v>36327.991999999998</v>
      </c>
      <c r="D85">
        <v>3005.7510000000002</v>
      </c>
      <c r="E85">
        <v>3324.029</v>
      </c>
      <c r="F85">
        <v>42657.771999999997</v>
      </c>
      <c r="H85">
        <v>1406.6369999999999</v>
      </c>
      <c r="I85">
        <v>314.48700000000002</v>
      </c>
      <c r="J85">
        <v>221.46799999999999</v>
      </c>
      <c r="K85">
        <v>1942.5920000000001</v>
      </c>
      <c r="L85">
        <v>12866.428</v>
      </c>
      <c r="M85">
        <v>8467.9590000000007</v>
      </c>
      <c r="N85">
        <v>17986.873</v>
      </c>
      <c r="O85">
        <v>39321.26</v>
      </c>
      <c r="P85">
        <v>72658.544999999998</v>
      </c>
      <c r="Q85">
        <v>12286.714</v>
      </c>
      <c r="R85">
        <v>61598.690999999999</v>
      </c>
      <c r="S85">
        <v>146543.95000000001</v>
      </c>
      <c r="T85">
        <v>162298.26199999999</v>
      </c>
      <c r="U85">
        <v>140982.80300000001</v>
      </c>
      <c r="V85">
        <v>75859.334000000003</v>
      </c>
      <c r="W85">
        <v>379140.39899999998</v>
      </c>
      <c r="X85">
        <v>59550.392</v>
      </c>
      <c r="Y85">
        <v>424999.83199999999</v>
      </c>
      <c r="Z85">
        <v>64256.51</v>
      </c>
      <c r="AA85">
        <v>548806.73400000005</v>
      </c>
      <c r="AB85">
        <v>12134.15</v>
      </c>
      <c r="AC85">
        <v>12029.454</v>
      </c>
      <c r="AD85">
        <v>2793.3580000000002</v>
      </c>
      <c r="AE85">
        <v>26956.962</v>
      </c>
      <c r="AF85">
        <v>5693.8670000000002</v>
      </c>
      <c r="AG85">
        <v>66434.824999999997</v>
      </c>
      <c r="AH85">
        <v>24085.381000000001</v>
      </c>
      <c r="AI85">
        <v>96214.073000000004</v>
      </c>
      <c r="AJ85">
        <v>362936.27299999999</v>
      </c>
      <c r="AK85">
        <v>668521.82499999995</v>
      </c>
      <c r="AL85">
        <v>250125.644</v>
      </c>
      <c r="AM85">
        <v>1281583.7420000001</v>
      </c>
    </row>
    <row r="86" spans="1:39" x14ac:dyDescent="0.2">
      <c r="A86" s="65">
        <v>44255</v>
      </c>
      <c r="B86" s="2">
        <f t="shared" si="1"/>
        <v>44.913007</v>
      </c>
      <c r="C86">
        <v>38724.860999999997</v>
      </c>
      <c r="D86">
        <v>2918.4009999999998</v>
      </c>
      <c r="E86">
        <v>3269.7449999999999</v>
      </c>
      <c r="F86">
        <v>44913.006999999998</v>
      </c>
      <c r="H86">
        <v>2465.8829999999998</v>
      </c>
      <c r="I86">
        <v>316.935</v>
      </c>
      <c r="J86">
        <v>264.63299999999998</v>
      </c>
      <c r="K86">
        <v>3047.451</v>
      </c>
      <c r="L86">
        <v>15024.626</v>
      </c>
      <c r="M86">
        <v>6085.9480000000003</v>
      </c>
      <c r="N86">
        <v>18801.492999999999</v>
      </c>
      <c r="O86">
        <v>39912.067000000003</v>
      </c>
      <c r="P86">
        <v>59060.966</v>
      </c>
      <c r="Q86">
        <v>11427.612999999999</v>
      </c>
      <c r="R86">
        <v>61012.514000000003</v>
      </c>
      <c r="S86">
        <v>131501.09299999999</v>
      </c>
      <c r="T86">
        <v>169910.935</v>
      </c>
      <c r="U86">
        <v>140907.962</v>
      </c>
      <c r="V86">
        <v>80552.913</v>
      </c>
      <c r="W86">
        <v>391371.81</v>
      </c>
      <c r="X86">
        <v>62681.785000000003</v>
      </c>
      <c r="Y86">
        <v>434735.08399999997</v>
      </c>
      <c r="Z86">
        <v>65122.337</v>
      </c>
      <c r="AA86">
        <v>562539.20600000001</v>
      </c>
      <c r="AB86">
        <v>11875.210999999999</v>
      </c>
      <c r="AC86">
        <v>12130.267</v>
      </c>
      <c r="AD86">
        <v>2792.0929999999998</v>
      </c>
      <c r="AE86">
        <v>26797.571</v>
      </c>
      <c r="AF86">
        <v>7198.027</v>
      </c>
      <c r="AG86">
        <v>67998.144</v>
      </c>
      <c r="AH86">
        <v>23714.768</v>
      </c>
      <c r="AI86">
        <v>98910.938999999998</v>
      </c>
      <c r="AJ86">
        <v>366942.29399999999</v>
      </c>
      <c r="AK86">
        <v>676520.35400000005</v>
      </c>
      <c r="AL86">
        <v>255530.49600000001</v>
      </c>
      <c r="AM86">
        <v>1298993.1440000001</v>
      </c>
    </row>
    <row r="87" spans="1:39" x14ac:dyDescent="0.2">
      <c r="A87" s="65">
        <v>44286</v>
      </c>
      <c r="B87" s="2">
        <f t="shared" si="1"/>
        <v>43.77543</v>
      </c>
      <c r="C87">
        <v>37859.373</v>
      </c>
      <c r="D87">
        <v>2801.0279999999998</v>
      </c>
      <c r="E87">
        <v>3115.029</v>
      </c>
      <c r="F87">
        <v>43775.43</v>
      </c>
      <c r="H87">
        <v>2007.9949999999999</v>
      </c>
      <c r="I87">
        <v>322.404</v>
      </c>
      <c r="J87">
        <v>263.34199999999998</v>
      </c>
      <c r="K87">
        <v>2593.741</v>
      </c>
      <c r="L87">
        <v>16702.493999999999</v>
      </c>
      <c r="M87">
        <v>7535.8879999999999</v>
      </c>
      <c r="N87">
        <v>14504.308000000001</v>
      </c>
      <c r="O87">
        <v>38742.69</v>
      </c>
      <c r="P87">
        <v>59350.527999999998</v>
      </c>
      <c r="Q87">
        <v>11971.105</v>
      </c>
      <c r="R87">
        <v>68227.096999999994</v>
      </c>
      <c r="S87">
        <v>139548.73000000001</v>
      </c>
      <c r="T87">
        <v>171868.01699999999</v>
      </c>
      <c r="U87">
        <v>138719.06599999999</v>
      </c>
      <c r="V87">
        <v>81538.417000000001</v>
      </c>
      <c r="W87">
        <v>392125.5</v>
      </c>
      <c r="X87">
        <v>59945.898000000001</v>
      </c>
      <c r="Y87">
        <v>429634.30499999999</v>
      </c>
      <c r="Z87">
        <v>64225.462</v>
      </c>
      <c r="AA87">
        <v>553805.66500000004</v>
      </c>
      <c r="AB87">
        <v>11746.804</v>
      </c>
      <c r="AC87">
        <v>11730.718999999999</v>
      </c>
      <c r="AD87">
        <v>2815.232</v>
      </c>
      <c r="AE87">
        <v>26292.755000000001</v>
      </c>
      <c r="AF87">
        <v>6975.2979999999998</v>
      </c>
      <c r="AG87">
        <v>66179.687999999995</v>
      </c>
      <c r="AH87">
        <v>23090.317999999999</v>
      </c>
      <c r="AI87">
        <v>96245.304000000004</v>
      </c>
      <c r="AJ87">
        <v>366456.40700000001</v>
      </c>
      <c r="AK87">
        <v>668894.20299999998</v>
      </c>
      <c r="AL87">
        <v>257779.20499999999</v>
      </c>
      <c r="AM87">
        <v>1293129.8149999999</v>
      </c>
    </row>
    <row r="88" spans="1:39" x14ac:dyDescent="0.2">
      <c r="A88" s="65">
        <v>44316</v>
      </c>
      <c r="B88" s="2">
        <f t="shared" si="1"/>
        <v>46.502396999999995</v>
      </c>
      <c r="C88">
        <v>39711.591999999997</v>
      </c>
      <c r="D88">
        <v>3196.3420000000001</v>
      </c>
      <c r="E88">
        <v>3594.4630000000002</v>
      </c>
      <c r="F88">
        <v>46502.396999999997</v>
      </c>
      <c r="H88">
        <v>2465.0639999999999</v>
      </c>
      <c r="I88">
        <v>350.15300000000002</v>
      </c>
      <c r="J88">
        <v>267.09500000000003</v>
      </c>
      <c r="K88">
        <v>3082.3119999999999</v>
      </c>
      <c r="L88">
        <v>14679.424000000001</v>
      </c>
      <c r="M88">
        <v>10385.785</v>
      </c>
      <c r="N88">
        <v>13690.234</v>
      </c>
      <c r="O88">
        <v>38755.442999999999</v>
      </c>
      <c r="P88">
        <v>55402.644</v>
      </c>
      <c r="Q88">
        <v>10918.825000000001</v>
      </c>
      <c r="R88">
        <v>68262.698999999993</v>
      </c>
      <c r="S88">
        <v>134584.16800000001</v>
      </c>
      <c r="T88">
        <v>173754.611</v>
      </c>
      <c r="U88">
        <v>148280.14499999999</v>
      </c>
      <c r="V88">
        <v>83384.519</v>
      </c>
      <c r="W88">
        <v>405419.27500000002</v>
      </c>
      <c r="X88">
        <v>62637.326999999997</v>
      </c>
      <c r="Y88">
        <v>446089.8</v>
      </c>
      <c r="Z88">
        <v>66618.747000000003</v>
      </c>
      <c r="AA88">
        <v>575345.87399999995</v>
      </c>
      <c r="AB88">
        <v>11727.965</v>
      </c>
      <c r="AC88">
        <v>11951.277</v>
      </c>
      <c r="AD88">
        <v>2856.18</v>
      </c>
      <c r="AE88">
        <v>26535.421999999999</v>
      </c>
      <c r="AF88">
        <v>6747.2790000000005</v>
      </c>
      <c r="AG88">
        <v>69538.236000000004</v>
      </c>
      <c r="AH88">
        <v>24171.8</v>
      </c>
      <c r="AI88">
        <v>100457.315</v>
      </c>
      <c r="AJ88">
        <v>367125.90599999996</v>
      </c>
      <c r="AK88">
        <v>700710.56300000008</v>
      </c>
      <c r="AL88">
        <v>262845.73700000002</v>
      </c>
      <c r="AM88">
        <v>1330682.206</v>
      </c>
    </row>
    <row r="89" spans="1:39" x14ac:dyDescent="0.2">
      <c r="A89" s="65">
        <v>44347</v>
      </c>
      <c r="B89" s="2">
        <f t="shared" si="1"/>
        <v>49.553148</v>
      </c>
      <c r="C89">
        <v>42838.786</v>
      </c>
      <c r="D89">
        <v>3284.7420000000002</v>
      </c>
      <c r="E89">
        <v>3429.62</v>
      </c>
      <c r="F89">
        <v>49553.148000000001</v>
      </c>
      <c r="H89">
        <v>2609.0210000000002</v>
      </c>
      <c r="I89">
        <v>349.95400000000001</v>
      </c>
      <c r="J89">
        <v>266.33800000000002</v>
      </c>
      <c r="K89">
        <v>3225.3130000000006</v>
      </c>
      <c r="L89">
        <v>15847.05</v>
      </c>
      <c r="M89">
        <v>8137.3230000000003</v>
      </c>
      <c r="N89">
        <v>15079.074000000001</v>
      </c>
      <c r="O89">
        <v>39063.447</v>
      </c>
      <c r="P89">
        <v>57865.39</v>
      </c>
      <c r="Q89">
        <v>10575.704</v>
      </c>
      <c r="R89">
        <v>69059.47</v>
      </c>
      <c r="S89">
        <v>137500.56400000001</v>
      </c>
      <c r="T89">
        <v>179183.174</v>
      </c>
      <c r="U89">
        <v>143578.74600000001</v>
      </c>
      <c r="V89">
        <v>82911.884000000005</v>
      </c>
      <c r="W89">
        <v>405673.80400000006</v>
      </c>
      <c r="X89">
        <v>62761.805</v>
      </c>
      <c r="Y89">
        <v>443701.908</v>
      </c>
      <c r="Z89">
        <v>66295.668000000005</v>
      </c>
      <c r="AA89">
        <v>572759.38100000005</v>
      </c>
      <c r="AB89">
        <v>11623.12</v>
      </c>
      <c r="AC89">
        <v>11855.643</v>
      </c>
      <c r="AD89">
        <v>2809.511</v>
      </c>
      <c r="AE89">
        <v>26288.273999999998</v>
      </c>
      <c r="AF89">
        <v>7673.4610000000002</v>
      </c>
      <c r="AG89">
        <v>69514.433000000005</v>
      </c>
      <c r="AH89">
        <v>23649.463</v>
      </c>
      <c r="AI89">
        <v>100837.357</v>
      </c>
      <c r="AJ89">
        <v>380401.80699999997</v>
      </c>
      <c r="AK89">
        <v>690998.45299999998</v>
      </c>
      <c r="AL89">
        <v>263501.02799999999</v>
      </c>
      <c r="AM89">
        <v>1334901.2879999999</v>
      </c>
    </row>
    <row r="90" spans="1:39" x14ac:dyDescent="0.2">
      <c r="A90" s="65">
        <v>44377</v>
      </c>
      <c r="B90" s="2">
        <f t="shared" si="1"/>
        <v>48.838035000000005</v>
      </c>
      <c r="C90">
        <v>41886.349000000002</v>
      </c>
      <c r="D90">
        <v>3661.3560000000002</v>
      </c>
      <c r="E90">
        <v>3290.33</v>
      </c>
      <c r="F90">
        <v>48838.035000000003</v>
      </c>
      <c r="H90">
        <v>2643.924</v>
      </c>
      <c r="I90">
        <v>383.09699999999998</v>
      </c>
      <c r="J90">
        <v>301.48899999999998</v>
      </c>
      <c r="K90">
        <v>3328.5099999999998</v>
      </c>
      <c r="L90">
        <v>24129.279999999999</v>
      </c>
      <c r="M90">
        <v>6092.4089999999997</v>
      </c>
      <c r="N90">
        <v>14818.040999999999</v>
      </c>
      <c r="O90">
        <v>45039.729999999996</v>
      </c>
      <c r="P90">
        <v>63817.135000000002</v>
      </c>
      <c r="Q90">
        <v>11432.963</v>
      </c>
      <c r="R90">
        <v>69927.293999999994</v>
      </c>
      <c r="S90">
        <v>145177.39199999999</v>
      </c>
      <c r="T90">
        <v>174918.568</v>
      </c>
      <c r="U90">
        <v>146884.61199999999</v>
      </c>
      <c r="V90">
        <v>83103.290999999997</v>
      </c>
      <c r="W90">
        <v>404906.47100000002</v>
      </c>
      <c r="X90">
        <v>62997.440000000002</v>
      </c>
      <c r="Y90">
        <v>446137.42099999997</v>
      </c>
      <c r="Z90">
        <v>66154.48</v>
      </c>
      <c r="AA90">
        <v>575289.34100000001</v>
      </c>
      <c r="AB90">
        <v>11958.558000000001</v>
      </c>
      <c r="AC90">
        <v>11817.669</v>
      </c>
      <c r="AD90">
        <v>2796.2660000000001</v>
      </c>
      <c r="AE90">
        <v>26572.492999999999</v>
      </c>
      <c r="AF90">
        <v>6810.1660000000002</v>
      </c>
      <c r="AG90">
        <v>70222.092999999993</v>
      </c>
      <c r="AH90">
        <v>23352.978999999999</v>
      </c>
      <c r="AI90">
        <v>100385.23799999998</v>
      </c>
      <c r="AJ90">
        <v>389161.42000000004</v>
      </c>
      <c r="AK90">
        <v>696631.62</v>
      </c>
      <c r="AL90">
        <v>263744.17</v>
      </c>
      <c r="AM90">
        <v>1349537.21</v>
      </c>
    </row>
    <row r="93" spans="1:39" x14ac:dyDescent="0.2">
      <c r="B93" s="2" t="s">
        <v>455</v>
      </c>
      <c r="C93" t="s">
        <v>456</v>
      </c>
      <c r="D93" t="s">
        <v>457</v>
      </c>
    </row>
    <row r="94" spans="1:39" x14ac:dyDescent="0.2">
      <c r="A94" s="65">
        <v>42005</v>
      </c>
      <c r="B94" s="2">
        <f>B13</f>
        <v>31.592071000000001</v>
      </c>
    </row>
    <row r="95" spans="1:39" x14ac:dyDescent="0.2">
      <c r="A95" s="65">
        <v>42370</v>
      </c>
      <c r="B95" s="2">
        <f>B25</f>
        <v>35.200741000000001</v>
      </c>
    </row>
    <row r="96" spans="1:39" x14ac:dyDescent="0.2">
      <c r="A96" s="65">
        <v>42747</v>
      </c>
      <c r="B96" s="2">
        <f>B37</f>
        <v>40.080902000000002</v>
      </c>
    </row>
    <row r="97" spans="1:4" x14ac:dyDescent="0.2">
      <c r="A97" s="65">
        <v>43101</v>
      </c>
      <c r="B97" s="2">
        <f>B49</f>
        <v>46.753323000000002</v>
      </c>
      <c r="C97">
        <v>2027</v>
      </c>
      <c r="D97" s="2"/>
    </row>
    <row r="98" spans="1:4" x14ac:dyDescent="0.2">
      <c r="A98" s="65">
        <v>43466</v>
      </c>
      <c r="B98" s="2">
        <f>B61</f>
        <v>51.758696999999998</v>
      </c>
      <c r="C98">
        <v>2110</v>
      </c>
      <c r="D98" s="2"/>
    </row>
    <row r="99" spans="1:4" x14ac:dyDescent="0.2">
      <c r="A99" s="65">
        <v>43861</v>
      </c>
      <c r="B99" s="2">
        <f>B73</f>
        <v>49.789982999999999</v>
      </c>
      <c r="C99">
        <v>1976</v>
      </c>
      <c r="D99" s="2"/>
    </row>
    <row r="100" spans="1:4" x14ac:dyDescent="0.2">
      <c r="A100" s="65">
        <v>44197</v>
      </c>
      <c r="B100" s="2">
        <f>B85</f>
        <v>42.657771999999994</v>
      </c>
      <c r="C100">
        <v>2029</v>
      </c>
      <c r="D100" s="2"/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B28E4-D1CE-4C72-B76D-FFF10939078D}">
  <dimension ref="C3:T153"/>
  <sheetViews>
    <sheetView topLeftCell="B1" workbookViewId="0">
      <selection activeCell="P178" sqref="P178"/>
    </sheetView>
  </sheetViews>
  <sheetFormatPr defaultRowHeight="12.75" x14ac:dyDescent="0.2"/>
  <cols>
    <col min="3" max="3" width="31.7109375" customWidth="1"/>
  </cols>
  <sheetData>
    <row r="3" spans="3:20" x14ac:dyDescent="0.2">
      <c r="C3" t="s">
        <v>458</v>
      </c>
    </row>
    <row r="4" spans="3:20" x14ac:dyDescent="0.2">
      <c r="C4" t="s">
        <v>473</v>
      </c>
      <c r="D4">
        <v>2010</v>
      </c>
      <c r="E4">
        <f>D4+1</f>
        <v>2011</v>
      </c>
      <c r="F4">
        <f t="shared" ref="F4:T4" si="0">E4+1</f>
        <v>2012</v>
      </c>
      <c r="G4">
        <f t="shared" si="0"/>
        <v>2013</v>
      </c>
      <c r="H4">
        <f t="shared" si="0"/>
        <v>2014</v>
      </c>
      <c r="I4">
        <f t="shared" si="0"/>
        <v>2015</v>
      </c>
      <c r="J4">
        <f t="shared" si="0"/>
        <v>2016</v>
      </c>
      <c r="K4">
        <f t="shared" si="0"/>
        <v>2017</v>
      </c>
      <c r="L4">
        <f t="shared" si="0"/>
        <v>2018</v>
      </c>
      <c r="M4">
        <f t="shared" si="0"/>
        <v>2019</v>
      </c>
      <c r="N4">
        <f t="shared" si="0"/>
        <v>2020</v>
      </c>
      <c r="O4">
        <f t="shared" si="0"/>
        <v>2021</v>
      </c>
      <c r="P4">
        <f t="shared" si="0"/>
        <v>2022</v>
      </c>
      <c r="Q4">
        <f t="shared" si="0"/>
        <v>2023</v>
      </c>
      <c r="R4">
        <f t="shared" si="0"/>
        <v>2024</v>
      </c>
      <c r="S4">
        <f t="shared" si="0"/>
        <v>2025</v>
      </c>
      <c r="T4">
        <f t="shared" si="0"/>
        <v>2026</v>
      </c>
    </row>
    <row r="5" spans="3:20" x14ac:dyDescent="0.2">
      <c r="C5" t="s">
        <v>459</v>
      </c>
      <c r="D5" s="32">
        <v>23.918442091717658</v>
      </c>
      <c r="E5" s="32">
        <v>23.112291109824476</v>
      </c>
      <c r="F5" s="32">
        <v>23.957319825357107</v>
      </c>
      <c r="G5" s="32">
        <v>23.581565291880736</v>
      </c>
      <c r="H5" s="32">
        <v>23.642391753097158</v>
      </c>
      <c r="I5" s="32">
        <v>24.510800546854142</v>
      </c>
      <c r="J5" s="32">
        <v>25.74298852790476</v>
      </c>
      <c r="K5" s="32">
        <v>25.772744748977306</v>
      </c>
      <c r="L5" s="32">
        <v>26.441581447885596</v>
      </c>
      <c r="M5" s="32">
        <v>27.316043443241746</v>
      </c>
      <c r="N5" s="32">
        <v>25.72467742719417</v>
      </c>
    </row>
    <row r="6" spans="3:20" x14ac:dyDescent="0.2">
      <c r="C6" s="72" t="s">
        <v>460</v>
      </c>
      <c r="D6" s="32">
        <v>8.9701069820348351</v>
      </c>
      <c r="E6" s="32">
        <v>8.440693828668417</v>
      </c>
      <c r="F6" s="32">
        <v>8.650217783865898</v>
      </c>
      <c r="G6" s="32">
        <v>7.7031517437212829</v>
      </c>
      <c r="H6" s="32">
        <v>7.7041060724881412</v>
      </c>
      <c r="I6" s="32">
        <v>7.7421513464418075</v>
      </c>
      <c r="J6" s="32">
        <v>7.6079743969672045</v>
      </c>
      <c r="K6" s="32">
        <v>6.7986905566511231</v>
      </c>
      <c r="L6" s="32">
        <v>6.9897519679668481</v>
      </c>
      <c r="M6" s="32">
        <v>7.5303874954459671</v>
      </c>
      <c r="N6" s="32">
        <v>8.1781026242768196</v>
      </c>
    </row>
    <row r="7" spans="3:20" x14ac:dyDescent="0.2">
      <c r="C7" s="72" t="s">
        <v>461</v>
      </c>
      <c r="D7" s="32">
        <f t="shared" ref="D7:N7" si="1">D5-D6</f>
        <v>14.948335109682823</v>
      </c>
      <c r="E7" s="32">
        <f t="shared" si="1"/>
        <v>14.671597281156059</v>
      </c>
      <c r="F7" s="32">
        <f t="shared" si="1"/>
        <v>15.307102041491209</v>
      </c>
      <c r="G7" s="32">
        <f t="shared" si="1"/>
        <v>15.878413548159454</v>
      </c>
      <c r="H7" s="32">
        <f t="shared" si="1"/>
        <v>15.938285680609017</v>
      </c>
      <c r="I7" s="32">
        <f t="shared" si="1"/>
        <v>16.768649200412334</v>
      </c>
      <c r="J7" s="32">
        <f t="shared" si="1"/>
        <v>18.135014130937556</v>
      </c>
      <c r="K7" s="32">
        <f t="shared" si="1"/>
        <v>18.974054192326182</v>
      </c>
      <c r="L7" s="32">
        <f t="shared" si="1"/>
        <v>19.45182947991875</v>
      </c>
      <c r="M7" s="32">
        <f t="shared" si="1"/>
        <v>19.785655947795778</v>
      </c>
      <c r="N7" s="32">
        <f t="shared" si="1"/>
        <v>17.546574802917348</v>
      </c>
    </row>
    <row r="8" spans="3:20" x14ac:dyDescent="0.2"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</row>
    <row r="9" spans="3:20" x14ac:dyDescent="0.2"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</row>
    <row r="10" spans="3:20" x14ac:dyDescent="0.2">
      <c r="C10" t="s">
        <v>462</v>
      </c>
      <c r="D10" s="32">
        <v>26.842225178538055</v>
      </c>
      <c r="E10" s="32">
        <v>25.574999008589579</v>
      </c>
      <c r="F10" s="32">
        <v>25.729494852110857</v>
      </c>
      <c r="G10" s="32">
        <v>27.146621148948398</v>
      </c>
      <c r="H10" s="32">
        <v>26.245723530636468</v>
      </c>
      <c r="I10" s="32">
        <v>26.989570693449654</v>
      </c>
      <c r="J10" s="32">
        <v>27.958722951287001</v>
      </c>
      <c r="K10" s="32">
        <v>29.078536943490178</v>
      </c>
      <c r="L10" s="32">
        <v>30.626558713388576</v>
      </c>
      <c r="M10" s="32">
        <v>30.633311373633198</v>
      </c>
      <c r="N10" s="32">
        <v>29.151210372624885</v>
      </c>
    </row>
    <row r="11" spans="3:20" x14ac:dyDescent="0.2">
      <c r="C11" t="s">
        <v>463</v>
      </c>
      <c r="D11" s="32">
        <v>33.174752214179101</v>
      </c>
      <c r="E11" s="32">
        <v>31.978268283590968</v>
      </c>
      <c r="F11" s="32">
        <v>29.806163849251821</v>
      </c>
      <c r="G11" s="32">
        <v>27.027641062227453</v>
      </c>
      <c r="H11" s="32">
        <v>26.741332719618438</v>
      </c>
      <c r="I11" s="32">
        <v>27.27874320650967</v>
      </c>
      <c r="J11" s="32">
        <v>28.153147424701093</v>
      </c>
      <c r="K11" s="32">
        <v>28.626193259536141</v>
      </c>
      <c r="L11" s="32">
        <v>29.445462470440699</v>
      </c>
      <c r="M11" s="32">
        <v>29.718461127875461</v>
      </c>
      <c r="N11" s="32">
        <v>33.096493154044708</v>
      </c>
    </row>
    <row r="12" spans="3:20" x14ac:dyDescent="0.2">
      <c r="C12" t="s">
        <v>464</v>
      </c>
      <c r="D12" s="32">
        <f t="shared" ref="D12:N12" si="2">D10-D11</f>
        <v>-6.3325270356410464</v>
      </c>
      <c r="E12" s="32">
        <f t="shared" si="2"/>
        <v>-6.4032692750013886</v>
      </c>
      <c r="F12" s="32">
        <f t="shared" si="2"/>
        <v>-4.0766689971409633</v>
      </c>
      <c r="G12" s="32">
        <f t="shared" si="2"/>
        <v>0.11898008672094562</v>
      </c>
      <c r="H12" s="32">
        <f t="shared" si="2"/>
        <v>-0.4956091889819696</v>
      </c>
      <c r="I12" s="32">
        <f t="shared" si="2"/>
        <v>-0.28917251306001646</v>
      </c>
      <c r="J12" s="32">
        <f t="shared" si="2"/>
        <v>-0.19442447341409164</v>
      </c>
      <c r="K12" s="32">
        <f t="shared" si="2"/>
        <v>0.45234368395403735</v>
      </c>
      <c r="L12" s="32">
        <f t="shared" si="2"/>
        <v>1.1810962429478771</v>
      </c>
      <c r="M12" s="32">
        <f t="shared" si="2"/>
        <v>0.91485024575773721</v>
      </c>
      <c r="N12" s="32">
        <f t="shared" si="2"/>
        <v>-3.9452827814198237</v>
      </c>
    </row>
    <row r="15" spans="3:20" x14ac:dyDescent="0.2">
      <c r="C15" t="s">
        <v>463</v>
      </c>
      <c r="D15" s="32">
        <v>33.174752214179101</v>
      </c>
      <c r="E15" s="32">
        <v>31.978268283590968</v>
      </c>
      <c r="F15" s="32">
        <v>29.806163849251821</v>
      </c>
      <c r="G15" s="32">
        <v>27.027641062227453</v>
      </c>
      <c r="H15" s="32">
        <v>26.741332719618438</v>
      </c>
      <c r="I15" s="32">
        <v>27.27874320650967</v>
      </c>
      <c r="J15" s="32">
        <v>28.153147424701093</v>
      </c>
      <c r="K15" s="32">
        <v>28.626193259536141</v>
      </c>
      <c r="L15" s="32">
        <v>29.445462470440699</v>
      </c>
      <c r="M15" s="32">
        <v>29.718461127875461</v>
      </c>
      <c r="N15" s="32">
        <v>33.096493154044708</v>
      </c>
    </row>
    <row r="16" spans="3:20" x14ac:dyDescent="0.2">
      <c r="C16" t="s">
        <v>465</v>
      </c>
      <c r="D16" s="32">
        <v>28.430738540412442</v>
      </c>
      <c r="E16" s="32">
        <v>27.756374769001368</v>
      </c>
      <c r="F16" s="32">
        <v>26.987537185023719</v>
      </c>
      <c r="G16" s="32">
        <v>24.498243115072135</v>
      </c>
      <c r="H16" s="32">
        <v>25.273930007305424</v>
      </c>
      <c r="I16" s="32">
        <v>25.339803059091153</v>
      </c>
      <c r="J16" s="32">
        <v>25.806554762049888</v>
      </c>
      <c r="K16" s="32">
        <v>26.199093894215597</v>
      </c>
      <c r="L16" s="32">
        <v>26.221139895399997</v>
      </c>
      <c r="M16" s="32">
        <v>26.399741090276347</v>
      </c>
      <c r="N16" s="32">
        <v>30.465696773573413</v>
      </c>
    </row>
    <row r="17" spans="3:20" x14ac:dyDescent="0.2">
      <c r="C17" s="72" t="s">
        <v>466</v>
      </c>
      <c r="D17" s="32">
        <f>D16-D18</f>
        <v>17.477843676693574</v>
      </c>
      <c r="E17" s="32">
        <f t="shared" ref="E17:N17" si="3">E16-E18</f>
        <v>18.182966775853998</v>
      </c>
      <c r="F17" s="32">
        <f t="shared" si="3"/>
        <v>17.511639798892936</v>
      </c>
      <c r="G17" s="32">
        <f t="shared" si="3"/>
        <v>16.981667590971043</v>
      </c>
      <c r="H17" s="32">
        <f t="shared" si="3"/>
        <v>17.304489774322406</v>
      </c>
      <c r="I17" s="32">
        <f t="shared" si="3"/>
        <v>17.898436468468553</v>
      </c>
      <c r="J17" s="32">
        <f t="shared" si="3"/>
        <v>18.012236724507961</v>
      </c>
      <c r="K17" s="32">
        <f t="shared" si="3"/>
        <v>19.189371816520172</v>
      </c>
      <c r="L17" s="32">
        <f t="shared" si="3"/>
        <v>19.929344333433505</v>
      </c>
      <c r="M17" s="32">
        <f t="shared" si="3"/>
        <v>20.200687034346064</v>
      </c>
      <c r="N17" s="32">
        <f t="shared" si="3"/>
        <v>23.575850479608139</v>
      </c>
    </row>
    <row r="18" spans="3:20" x14ac:dyDescent="0.2">
      <c r="C18" s="72" t="s">
        <v>467</v>
      </c>
      <c r="D18" s="32">
        <v>10.952894863718866</v>
      </c>
      <c r="E18" s="32">
        <v>9.5734079931473701</v>
      </c>
      <c r="F18" s="32">
        <v>9.4758973861307805</v>
      </c>
      <c r="G18" s="32">
        <v>7.5165755241010945</v>
      </c>
      <c r="H18" s="32">
        <v>7.9694402329830201</v>
      </c>
      <c r="I18" s="32">
        <v>7.4413665906226001</v>
      </c>
      <c r="J18" s="32">
        <v>7.7943180375419265</v>
      </c>
      <c r="K18" s="32">
        <v>7.009722077695427</v>
      </c>
      <c r="L18" s="32">
        <v>6.2917955619664925</v>
      </c>
      <c r="M18" s="32">
        <v>6.1990540559302838</v>
      </c>
      <c r="N18" s="32">
        <v>6.8898462939652738</v>
      </c>
    </row>
    <row r="19" spans="3:20" x14ac:dyDescent="0.2">
      <c r="C19" t="s">
        <v>468</v>
      </c>
      <c r="D19" s="32">
        <v>4.7440136737666601</v>
      </c>
      <c r="E19" s="32">
        <v>4.2218935145895964</v>
      </c>
      <c r="F19" s="32">
        <v>2.8186266642281006</v>
      </c>
      <c r="G19" s="32">
        <v>2.5293979471553198</v>
      </c>
      <c r="H19" s="32">
        <v>1.467402712313014</v>
      </c>
      <c r="I19" s="32">
        <v>1.9389401474185182</v>
      </c>
      <c r="J19" s="32">
        <v>2.3465926626512021</v>
      </c>
      <c r="K19" s="32">
        <v>2.4270993653205459</v>
      </c>
      <c r="L19" s="32">
        <v>3.2243225750407034</v>
      </c>
      <c r="M19" s="32">
        <v>3.3187200375991184</v>
      </c>
      <c r="N19" s="32">
        <v>2.6307963804712919</v>
      </c>
    </row>
    <row r="22" spans="3:20" x14ac:dyDescent="0.2">
      <c r="C22" t="s">
        <v>456</v>
      </c>
      <c r="D22">
        <v>1171879</v>
      </c>
      <c r="E22">
        <v>1260830</v>
      </c>
      <c r="F22">
        <v>1339585</v>
      </c>
      <c r="G22">
        <v>1462361</v>
      </c>
      <c r="H22">
        <v>1568698</v>
      </c>
      <c r="I22">
        <v>1688933</v>
      </c>
      <c r="J22">
        <v>1787921</v>
      </c>
      <c r="K22">
        <v>1928479</v>
      </c>
      <c r="L22">
        <v>2053279</v>
      </c>
      <c r="M22">
        <v>2121087</v>
      </c>
      <c r="N22">
        <v>1977591.2870413701</v>
      </c>
    </row>
    <row r="24" spans="3:20" x14ac:dyDescent="0.2">
      <c r="C24" t="s">
        <v>469</v>
      </c>
      <c r="D24" s="32">
        <v>-5.7272121599551271</v>
      </c>
      <c r="E24" s="32">
        <v>-5.2765479549842205</v>
      </c>
      <c r="F24" s="32">
        <v>-3.2968079277137314</v>
      </c>
      <c r="G24" s="32">
        <v>0.19523706617387546</v>
      </c>
      <c r="H24" s="32">
        <v>0.38087108300884587</v>
      </c>
      <c r="I24" s="32">
        <v>1.6834311046211756</v>
      </c>
      <c r="J24" s="32">
        <v>1.9423654133852233</v>
      </c>
      <c r="K24" s="32">
        <v>1.0497768781817174</v>
      </c>
      <c r="L24" s="32">
        <v>1.7870100247953025</v>
      </c>
      <c r="M24" s="32">
        <v>0.9677905541939299</v>
      </c>
      <c r="N24" s="32">
        <v>-4.4003818738852116</v>
      </c>
    </row>
    <row r="25" spans="3:20" x14ac:dyDescent="0.2"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3:20" x14ac:dyDescent="0.2">
      <c r="C26" t="s">
        <v>470</v>
      </c>
      <c r="D26" s="32">
        <v>5.7168144031844124</v>
      </c>
      <c r="E26" s="32">
        <v>4.3123247465943715</v>
      </c>
      <c r="F26" s="32">
        <v>6.0368662022492252</v>
      </c>
      <c r="G26" s="32">
        <v>7.6355556108220366</v>
      </c>
      <c r="H26" s="32">
        <v>7.4738310440010505</v>
      </c>
      <c r="I26" s="32">
        <v>7.1521940775625836</v>
      </c>
      <c r="J26" s="32">
        <v>7.5998935641278367</v>
      </c>
      <c r="K26" s="32">
        <v>7.462065761649467</v>
      </c>
      <c r="L26" s="32">
        <v>7.472891804914374</v>
      </c>
      <c r="M26" s="32">
        <v>7.1139043016880175</v>
      </c>
      <c r="N26" s="32">
        <v>2.9445635125454546</v>
      </c>
      <c r="O26" s="32">
        <v>6.0000000000000009</v>
      </c>
      <c r="P26" s="32">
        <v>6.5</v>
      </c>
      <c r="Q26" s="32">
        <v>6.5</v>
      </c>
      <c r="R26" s="32">
        <v>6.5</v>
      </c>
      <c r="S26" s="32">
        <v>6.5</v>
      </c>
      <c r="T26" s="32">
        <v>6.5</v>
      </c>
    </row>
    <row r="28" spans="3:20" x14ac:dyDescent="0.2">
      <c r="C28" t="s">
        <v>471</v>
      </c>
      <c r="D28" s="32">
        <v>118.11458482659046</v>
      </c>
      <c r="E28" s="32">
        <v>116.24716892840432</v>
      </c>
      <c r="F28" s="32">
        <v>119.05511643531395</v>
      </c>
      <c r="G28" s="32">
        <v>116.64570752639054</v>
      </c>
      <c r="H28" s="32">
        <v>118.3430133824356</v>
      </c>
      <c r="I28" s="32">
        <v>111.48756913921392</v>
      </c>
      <c r="J28" s="32">
        <v>113.69488932117244</v>
      </c>
      <c r="K28" s="32">
        <v>101.22488295179777</v>
      </c>
      <c r="L28" s="32">
        <v>94.386131849517213</v>
      </c>
      <c r="M28" s="32">
        <v>94.259651511701321</v>
      </c>
      <c r="N28" s="32">
        <v>106.13114251431257</v>
      </c>
      <c r="O28" s="32">
        <v>96.891301297178671</v>
      </c>
      <c r="P28" s="32">
        <v>85.279493800340106</v>
      </c>
      <c r="Q28" s="32">
        <v>75.650817568219196</v>
      </c>
      <c r="R28" s="32">
        <v>69.301137429984109</v>
      </c>
      <c r="S28" s="32">
        <v>64.363460409217339</v>
      </c>
      <c r="T28" s="32">
        <v>59.980149614730216</v>
      </c>
    </row>
    <row r="32" spans="3:20" x14ac:dyDescent="0.2">
      <c r="C32" s="6" t="s">
        <v>472</v>
      </c>
      <c r="D32">
        <v>2010</v>
      </c>
      <c r="E32">
        <f>D32+1</f>
        <v>2011</v>
      </c>
      <c r="F32">
        <f t="shared" ref="F32:N32" si="4">E32+1</f>
        <v>2012</v>
      </c>
      <c r="G32">
        <f t="shared" si="4"/>
        <v>2013</v>
      </c>
      <c r="H32">
        <f t="shared" si="4"/>
        <v>2014</v>
      </c>
      <c r="I32">
        <f t="shared" si="4"/>
        <v>2015</v>
      </c>
      <c r="J32">
        <f t="shared" si="4"/>
        <v>2016</v>
      </c>
      <c r="K32">
        <f t="shared" si="4"/>
        <v>2017</v>
      </c>
      <c r="L32">
        <f t="shared" si="4"/>
        <v>2018</v>
      </c>
      <c r="M32">
        <f t="shared" si="4"/>
        <v>2019</v>
      </c>
      <c r="N32">
        <f t="shared" si="4"/>
        <v>2020</v>
      </c>
    </row>
    <row r="33" spans="3:14" x14ac:dyDescent="0.2">
      <c r="C33" s="6" t="s">
        <v>464</v>
      </c>
      <c r="D33" s="32">
        <v>-6.3325270356410464</v>
      </c>
      <c r="E33" s="32">
        <v>-6.4032692750013886</v>
      </c>
      <c r="F33" s="32">
        <v>-4.0766689971409633</v>
      </c>
      <c r="G33" s="32">
        <v>0.11898008672094562</v>
      </c>
      <c r="H33" s="32">
        <v>-0.4956091889819696</v>
      </c>
      <c r="I33" s="32">
        <v>-0.28917251306001646</v>
      </c>
      <c r="J33" s="32">
        <v>-0.19442447341409164</v>
      </c>
      <c r="K33" s="32">
        <v>0.45234368395403735</v>
      </c>
      <c r="L33" s="32">
        <v>1.1810962429478771</v>
      </c>
      <c r="M33" s="32">
        <v>0.91485024575773721</v>
      </c>
      <c r="N33" s="32">
        <v>-3.9452827814198237</v>
      </c>
    </row>
    <row r="54" spans="3:14" x14ac:dyDescent="0.2">
      <c r="C54" t="s">
        <v>474</v>
      </c>
    </row>
    <row r="55" spans="3:14" x14ac:dyDescent="0.2">
      <c r="C55" t="s">
        <v>473</v>
      </c>
      <c r="D55">
        <v>2010</v>
      </c>
      <c r="E55">
        <f>D55+1</f>
        <v>2011</v>
      </c>
      <c r="F55">
        <f t="shared" ref="F55:N55" si="5">E55+1</f>
        <v>2012</v>
      </c>
      <c r="G55">
        <f t="shared" si="5"/>
        <v>2013</v>
      </c>
      <c r="H55">
        <f t="shared" si="5"/>
        <v>2014</v>
      </c>
      <c r="I55">
        <f t="shared" si="5"/>
        <v>2015</v>
      </c>
      <c r="J55">
        <f t="shared" si="5"/>
        <v>2016</v>
      </c>
      <c r="K55">
        <f t="shared" si="5"/>
        <v>2017</v>
      </c>
      <c r="L55">
        <f t="shared" si="5"/>
        <v>2018</v>
      </c>
      <c r="M55">
        <f t="shared" si="5"/>
        <v>2019</v>
      </c>
      <c r="N55">
        <f t="shared" si="5"/>
        <v>2020</v>
      </c>
    </row>
    <row r="56" spans="3:14" x14ac:dyDescent="0.2">
      <c r="C56" t="s">
        <v>462</v>
      </c>
      <c r="D56" s="32">
        <v>26.842225178538055</v>
      </c>
      <c r="E56" s="32">
        <v>25.574999008589579</v>
      </c>
      <c r="F56" s="32">
        <v>25.729494852110857</v>
      </c>
      <c r="G56" s="32">
        <v>27.146621148948398</v>
      </c>
      <c r="H56" s="32">
        <v>26.245723530636468</v>
      </c>
      <c r="I56" s="32">
        <v>26.989570693449654</v>
      </c>
      <c r="J56" s="32">
        <v>27.958722951287001</v>
      </c>
      <c r="K56" s="32">
        <v>29.078536943490178</v>
      </c>
      <c r="L56" s="32">
        <v>30.626558713388576</v>
      </c>
      <c r="M56" s="32">
        <v>30.633311373633198</v>
      </c>
      <c r="N56" s="32">
        <v>29.151210372624885</v>
      </c>
    </row>
    <row r="57" spans="3:14" x14ac:dyDescent="0.2">
      <c r="C57" t="s">
        <v>463</v>
      </c>
      <c r="D57" s="32">
        <v>33.174752214179101</v>
      </c>
      <c r="E57" s="32">
        <v>31.978268283590968</v>
      </c>
      <c r="F57" s="32">
        <v>29.806163849251821</v>
      </c>
      <c r="G57" s="32">
        <v>27.027641062227453</v>
      </c>
      <c r="H57" s="32">
        <v>26.741332719618438</v>
      </c>
      <c r="I57" s="32">
        <v>27.27874320650967</v>
      </c>
      <c r="J57" s="32">
        <v>28.153147424701093</v>
      </c>
      <c r="K57" s="32">
        <v>28.626193259536141</v>
      </c>
      <c r="L57" s="32">
        <v>29.445462470440699</v>
      </c>
      <c r="M57" s="32">
        <v>29.718461127875461</v>
      </c>
      <c r="N57" s="32">
        <v>33.096493154044708</v>
      </c>
    </row>
    <row r="79" spans="3:14" x14ac:dyDescent="0.2">
      <c r="C79" t="s">
        <v>475</v>
      </c>
    </row>
    <row r="80" spans="3:14" x14ac:dyDescent="0.2">
      <c r="C80" t="s">
        <v>473</v>
      </c>
      <c r="D80">
        <v>2010</v>
      </c>
      <c r="E80">
        <f>D80+1</f>
        <v>2011</v>
      </c>
      <c r="F80">
        <f t="shared" ref="F80:N80" si="6">E80+1</f>
        <v>2012</v>
      </c>
      <c r="G80">
        <f t="shared" si="6"/>
        <v>2013</v>
      </c>
      <c r="H80">
        <f t="shared" si="6"/>
        <v>2014</v>
      </c>
      <c r="I80">
        <f t="shared" si="6"/>
        <v>2015</v>
      </c>
      <c r="J80">
        <f t="shared" si="6"/>
        <v>2016</v>
      </c>
      <c r="K80">
        <f t="shared" si="6"/>
        <v>2017</v>
      </c>
      <c r="L80">
        <f t="shared" si="6"/>
        <v>2018</v>
      </c>
      <c r="M80">
        <f t="shared" si="6"/>
        <v>2019</v>
      </c>
      <c r="N80">
        <f t="shared" si="6"/>
        <v>2020</v>
      </c>
    </row>
    <row r="81" spans="3:14" x14ac:dyDescent="0.2">
      <c r="C81" t="s">
        <v>459</v>
      </c>
      <c r="D81" s="32">
        <v>23.918442091717658</v>
      </c>
      <c r="E81" s="32">
        <v>23.112291109824476</v>
      </c>
      <c r="F81" s="32">
        <v>23.957319825357107</v>
      </c>
      <c r="G81" s="32">
        <v>23.581565291880736</v>
      </c>
      <c r="H81" s="32">
        <v>23.642391753097158</v>
      </c>
      <c r="I81" s="32">
        <v>24.510800546854142</v>
      </c>
      <c r="J81" s="32">
        <v>25.74298852790476</v>
      </c>
      <c r="K81" s="32">
        <v>25.772744748977306</v>
      </c>
      <c r="L81" s="32">
        <v>26.441581447885596</v>
      </c>
      <c r="M81" s="32">
        <v>27.316043443241746</v>
      </c>
      <c r="N81" s="32">
        <v>25.72467742719417</v>
      </c>
    </row>
    <row r="82" spans="3:14" x14ac:dyDescent="0.2">
      <c r="C82" s="72" t="s">
        <v>460</v>
      </c>
      <c r="D82" s="32">
        <v>8.9701069820348351</v>
      </c>
      <c r="E82" s="32">
        <v>8.440693828668417</v>
      </c>
      <c r="F82" s="32">
        <v>8.650217783865898</v>
      </c>
      <c r="G82" s="32">
        <v>7.7031517437212829</v>
      </c>
      <c r="H82" s="32">
        <v>7.7041060724881412</v>
      </c>
      <c r="I82" s="32">
        <v>7.7421513464418075</v>
      </c>
      <c r="J82" s="32">
        <v>7.6079743969672045</v>
      </c>
      <c r="K82" s="32">
        <v>6.7986905566511231</v>
      </c>
      <c r="L82" s="32">
        <v>6.9897519679668481</v>
      </c>
      <c r="M82" s="32">
        <v>7.5303874954459671</v>
      </c>
      <c r="N82" s="32">
        <v>8.1781026242768196</v>
      </c>
    </row>
    <row r="83" spans="3:14" x14ac:dyDescent="0.2">
      <c r="C83" s="72" t="s">
        <v>476</v>
      </c>
      <c r="D83" s="32">
        <f t="shared" ref="D83:N83" si="7">D81-D82</f>
        <v>14.948335109682823</v>
      </c>
      <c r="E83" s="32">
        <f t="shared" si="7"/>
        <v>14.671597281156059</v>
      </c>
      <c r="F83" s="32">
        <f t="shared" si="7"/>
        <v>15.307102041491209</v>
      </c>
      <c r="G83" s="32">
        <f t="shared" si="7"/>
        <v>15.878413548159454</v>
      </c>
      <c r="H83" s="32">
        <f t="shared" si="7"/>
        <v>15.938285680609017</v>
      </c>
      <c r="I83" s="32">
        <f t="shared" si="7"/>
        <v>16.768649200412334</v>
      </c>
      <c r="J83" s="32">
        <f t="shared" si="7"/>
        <v>18.135014130937556</v>
      </c>
      <c r="K83" s="32">
        <f t="shared" si="7"/>
        <v>18.974054192326182</v>
      </c>
      <c r="L83" s="32">
        <f t="shared" si="7"/>
        <v>19.45182947991875</v>
      </c>
      <c r="M83" s="32">
        <f t="shared" si="7"/>
        <v>19.785655947795778</v>
      </c>
      <c r="N83" s="32">
        <f t="shared" si="7"/>
        <v>17.546574802917348</v>
      </c>
    </row>
    <row r="103" spans="3:14" x14ac:dyDescent="0.2">
      <c r="C103" t="s">
        <v>477</v>
      </c>
    </row>
    <row r="104" spans="3:14" x14ac:dyDescent="0.2">
      <c r="C104" t="s">
        <v>473</v>
      </c>
      <c r="D104">
        <v>2010</v>
      </c>
      <c r="E104">
        <f>D104+1</f>
        <v>2011</v>
      </c>
      <c r="F104">
        <f t="shared" ref="F104:N104" si="8">E104+1</f>
        <v>2012</v>
      </c>
      <c r="G104">
        <f t="shared" si="8"/>
        <v>2013</v>
      </c>
      <c r="H104">
        <f t="shared" si="8"/>
        <v>2014</v>
      </c>
      <c r="I104">
        <f t="shared" si="8"/>
        <v>2015</v>
      </c>
      <c r="J104">
        <f t="shared" si="8"/>
        <v>2016</v>
      </c>
      <c r="K104">
        <f t="shared" si="8"/>
        <v>2017</v>
      </c>
      <c r="L104">
        <f t="shared" si="8"/>
        <v>2018</v>
      </c>
      <c r="M104">
        <f t="shared" si="8"/>
        <v>2019</v>
      </c>
      <c r="N104">
        <f t="shared" si="8"/>
        <v>2020</v>
      </c>
    </row>
    <row r="105" spans="3:14" x14ac:dyDescent="0.2">
      <c r="C105" t="s">
        <v>465</v>
      </c>
      <c r="D105" s="32">
        <v>28.430738540412442</v>
      </c>
      <c r="E105" s="32">
        <v>27.756374769001368</v>
      </c>
      <c r="F105" s="32">
        <v>26.987537185023719</v>
      </c>
      <c r="G105" s="32">
        <v>24.498243115072135</v>
      </c>
      <c r="H105" s="32">
        <v>25.273930007305424</v>
      </c>
      <c r="I105" s="32">
        <v>25.339803059091153</v>
      </c>
      <c r="J105" s="32">
        <v>25.806554762049888</v>
      </c>
      <c r="K105" s="32">
        <v>26.199093894215597</v>
      </c>
      <c r="L105" s="32">
        <v>26.221139895399997</v>
      </c>
      <c r="M105" s="32">
        <v>26.399741090276347</v>
      </c>
      <c r="N105" s="32">
        <v>30.465696773573413</v>
      </c>
    </row>
    <row r="106" spans="3:14" x14ac:dyDescent="0.2">
      <c r="C106" s="72" t="s">
        <v>478</v>
      </c>
      <c r="D106" s="32">
        <f>D105-D107</f>
        <v>17.477843676693574</v>
      </c>
      <c r="E106" s="32">
        <f t="shared" ref="E106" si="9">E105-E107</f>
        <v>18.182966775853998</v>
      </c>
      <c r="F106" s="32">
        <f t="shared" ref="F106" si="10">F105-F107</f>
        <v>17.511639798892936</v>
      </c>
      <c r="G106" s="32">
        <f t="shared" ref="G106" si="11">G105-G107</f>
        <v>16.981667590971043</v>
      </c>
      <c r="H106" s="32">
        <f t="shared" ref="H106" si="12">H105-H107</f>
        <v>17.304489774322406</v>
      </c>
      <c r="I106" s="32">
        <f t="shared" ref="I106" si="13">I105-I107</f>
        <v>17.898436468468553</v>
      </c>
      <c r="J106" s="32">
        <f t="shared" ref="J106" si="14">J105-J107</f>
        <v>18.012236724507961</v>
      </c>
      <c r="K106" s="32">
        <f t="shared" ref="K106" si="15">K105-K107</f>
        <v>19.189371816520172</v>
      </c>
      <c r="L106" s="32">
        <f t="shared" ref="L106" si="16">L105-L107</f>
        <v>19.929344333433505</v>
      </c>
      <c r="M106" s="32">
        <f t="shared" ref="M106" si="17">M105-M107</f>
        <v>20.200687034346064</v>
      </c>
      <c r="N106" s="32">
        <f t="shared" ref="N106" si="18">N105-N107</f>
        <v>23.575850479608139</v>
      </c>
    </row>
    <row r="107" spans="3:14" x14ac:dyDescent="0.2">
      <c r="C107" s="72" t="s">
        <v>467</v>
      </c>
      <c r="D107" s="32">
        <v>10.952894863718866</v>
      </c>
      <c r="E107" s="32">
        <v>9.5734079931473701</v>
      </c>
      <c r="F107" s="32">
        <v>9.4758973861307805</v>
      </c>
      <c r="G107" s="32">
        <v>7.5165755241010945</v>
      </c>
      <c r="H107" s="32">
        <v>7.9694402329830201</v>
      </c>
      <c r="I107" s="32">
        <v>7.4413665906226001</v>
      </c>
      <c r="J107" s="32">
        <v>7.7943180375419265</v>
      </c>
      <c r="K107" s="32">
        <v>7.009722077695427</v>
      </c>
      <c r="L107" s="32">
        <v>6.2917955619664925</v>
      </c>
      <c r="M107" s="32">
        <v>6.1990540559302838</v>
      </c>
      <c r="N107" s="32">
        <v>6.8898462939652738</v>
      </c>
    </row>
    <row r="128" spans="3:3" x14ac:dyDescent="0.2">
      <c r="C128" t="s">
        <v>479</v>
      </c>
    </row>
    <row r="129" spans="3:14" x14ac:dyDescent="0.2">
      <c r="C129" t="s">
        <v>473</v>
      </c>
      <c r="D129">
        <v>2010</v>
      </c>
      <c r="E129">
        <f>D129+1</f>
        <v>2011</v>
      </c>
      <c r="F129">
        <f t="shared" ref="F129:N129" si="19">E129+1</f>
        <v>2012</v>
      </c>
      <c r="G129">
        <f t="shared" si="19"/>
        <v>2013</v>
      </c>
      <c r="H129">
        <f t="shared" si="19"/>
        <v>2014</v>
      </c>
      <c r="I129">
        <f t="shared" si="19"/>
        <v>2015</v>
      </c>
      <c r="J129">
        <f t="shared" si="19"/>
        <v>2016</v>
      </c>
      <c r="K129">
        <f t="shared" si="19"/>
        <v>2017</v>
      </c>
      <c r="L129">
        <f t="shared" si="19"/>
        <v>2018</v>
      </c>
      <c r="M129">
        <f t="shared" si="19"/>
        <v>2019</v>
      </c>
      <c r="N129">
        <f t="shared" si="19"/>
        <v>2020</v>
      </c>
    </row>
    <row r="130" spans="3:14" x14ac:dyDescent="0.2">
      <c r="C130" t="s">
        <v>468</v>
      </c>
      <c r="D130" s="32">
        <v>4.7440136737666601</v>
      </c>
      <c r="E130" s="32">
        <v>4.2218935145895964</v>
      </c>
      <c r="F130" s="32">
        <v>2.8186266642281006</v>
      </c>
      <c r="G130" s="32">
        <v>2.5293979471553198</v>
      </c>
      <c r="H130" s="32">
        <v>1.467402712313014</v>
      </c>
      <c r="I130" s="32">
        <v>1.9389401474185182</v>
      </c>
      <c r="J130" s="32">
        <v>2.3465926626512021</v>
      </c>
      <c r="K130" s="32">
        <v>2.4270993653205459</v>
      </c>
      <c r="L130" s="32">
        <v>3.2243225750407034</v>
      </c>
      <c r="M130" s="32">
        <v>3.3187200375991184</v>
      </c>
      <c r="N130" s="32">
        <v>2.6307963804712919</v>
      </c>
    </row>
    <row r="151" spans="3:20" x14ac:dyDescent="0.2">
      <c r="C151" t="s">
        <v>480</v>
      </c>
      <c r="D151">
        <v>2010</v>
      </c>
      <c r="E151">
        <f>D151+1</f>
        <v>2011</v>
      </c>
      <c r="F151">
        <f t="shared" ref="F151:N151" si="20">E151+1</f>
        <v>2012</v>
      </c>
      <c r="G151">
        <f t="shared" si="20"/>
        <v>2013</v>
      </c>
      <c r="H151">
        <f t="shared" si="20"/>
        <v>2014</v>
      </c>
      <c r="I151">
        <f t="shared" si="20"/>
        <v>2015</v>
      </c>
      <c r="J151">
        <f t="shared" si="20"/>
        <v>2016</v>
      </c>
      <c r="K151">
        <f t="shared" si="20"/>
        <v>2017</v>
      </c>
      <c r="L151">
        <f t="shared" si="20"/>
        <v>2018</v>
      </c>
      <c r="M151">
        <f t="shared" si="20"/>
        <v>2019</v>
      </c>
      <c r="N151">
        <f t="shared" si="20"/>
        <v>2020</v>
      </c>
      <c r="O151">
        <v>2021</v>
      </c>
      <c r="P151">
        <v>2022</v>
      </c>
      <c r="Q151">
        <v>2023</v>
      </c>
      <c r="R151">
        <v>2024</v>
      </c>
      <c r="S151">
        <v>2025</v>
      </c>
      <c r="T151">
        <v>2026</v>
      </c>
    </row>
    <row r="152" spans="3:20" x14ac:dyDescent="0.2">
      <c r="C152" t="s">
        <v>482</v>
      </c>
      <c r="D152" s="32">
        <v>5.7168144031844124</v>
      </c>
      <c r="E152" s="32">
        <v>4.3123247465943715</v>
      </c>
      <c r="F152" s="32">
        <v>6.0368662022492252</v>
      </c>
      <c r="G152" s="32">
        <v>7.6355556108220366</v>
      </c>
      <c r="H152" s="32">
        <v>7.4738310440010505</v>
      </c>
      <c r="I152" s="32">
        <v>7.1521940775625836</v>
      </c>
      <c r="J152" s="32">
        <v>7.5998935641278367</v>
      </c>
      <c r="K152" s="32">
        <v>7.462065761649467</v>
      </c>
      <c r="L152" s="32">
        <v>7.472891804914374</v>
      </c>
      <c r="M152" s="32">
        <v>7.1139043016880175</v>
      </c>
      <c r="N152" s="32">
        <v>2.9445635125454546</v>
      </c>
      <c r="O152" s="32">
        <v>6.0000000000000009</v>
      </c>
      <c r="P152" s="32">
        <v>6.5</v>
      </c>
      <c r="Q152" s="32">
        <v>6.5</v>
      </c>
      <c r="R152" s="32">
        <v>6.5</v>
      </c>
      <c r="S152" s="32">
        <v>6.5</v>
      </c>
      <c r="T152" s="32">
        <v>6.5</v>
      </c>
    </row>
    <row r="153" spans="3:20" x14ac:dyDescent="0.2">
      <c r="C153" t="s">
        <v>481</v>
      </c>
      <c r="D153" s="32">
        <v>118.11458482659046</v>
      </c>
      <c r="E153" s="32">
        <v>116.24716892840432</v>
      </c>
      <c r="F153" s="32">
        <v>119.05511643531395</v>
      </c>
      <c r="G153" s="32">
        <v>116.64570752639054</v>
      </c>
      <c r="H153" s="32">
        <v>118.3430133824356</v>
      </c>
      <c r="I153" s="32">
        <v>111.48756913921392</v>
      </c>
      <c r="J153" s="32">
        <v>113.69488932117244</v>
      </c>
      <c r="K153" s="32">
        <v>101.22488295179777</v>
      </c>
      <c r="L153" s="32">
        <v>94.386131849517213</v>
      </c>
      <c r="M153" s="32">
        <v>94.259651511701321</v>
      </c>
      <c r="N153" s="32">
        <v>106.13114251431257</v>
      </c>
      <c r="O153" s="32">
        <v>96.891301297178671</v>
      </c>
      <c r="P153" s="32">
        <v>85.279493800340106</v>
      </c>
      <c r="Q153" s="32">
        <v>75.650817568219196</v>
      </c>
      <c r="R153" s="32">
        <v>69.301137429984109</v>
      </c>
      <c r="S153" s="32">
        <v>64.363460409217339</v>
      </c>
      <c r="T153" s="32">
        <v>59.980149614730216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DC76F-1504-45B2-9381-F6435A0D6256}">
  <dimension ref="A1:L2"/>
  <sheetViews>
    <sheetView workbookViewId="0">
      <selection activeCell="D12" sqref="D12"/>
    </sheetView>
  </sheetViews>
  <sheetFormatPr defaultRowHeight="12.75" x14ac:dyDescent="0.2"/>
  <cols>
    <col min="1" max="1" width="14.28515625" bestFit="1" customWidth="1"/>
  </cols>
  <sheetData>
    <row r="1" spans="1:12" x14ac:dyDescent="0.2">
      <c r="A1" s="6" t="s">
        <v>473</v>
      </c>
      <c r="B1">
        <v>2010</v>
      </c>
      <c r="C1">
        <f>B1+1</f>
        <v>2011</v>
      </c>
      <c r="D1">
        <f t="shared" ref="D1:L1" si="0">C1+1</f>
        <v>2012</v>
      </c>
      <c r="E1">
        <f t="shared" si="0"/>
        <v>2013</v>
      </c>
      <c r="F1">
        <f t="shared" si="0"/>
        <v>2014</v>
      </c>
      <c r="G1">
        <f t="shared" si="0"/>
        <v>2015</v>
      </c>
      <c r="H1">
        <f t="shared" si="0"/>
        <v>2016</v>
      </c>
      <c r="I1">
        <f t="shared" si="0"/>
        <v>2017</v>
      </c>
      <c r="J1">
        <f t="shared" si="0"/>
        <v>2018</v>
      </c>
      <c r="K1">
        <f t="shared" si="0"/>
        <v>2019</v>
      </c>
      <c r="L1">
        <f t="shared" si="0"/>
        <v>2020</v>
      </c>
    </row>
    <row r="2" spans="1:12" x14ac:dyDescent="0.2">
      <c r="A2" s="6" t="s">
        <v>489</v>
      </c>
      <c r="B2" s="32">
        <v>-6.3325270356410464</v>
      </c>
      <c r="C2" s="32">
        <v>-6.4032692750013886</v>
      </c>
      <c r="D2" s="32">
        <v>-4.0766689971409633</v>
      </c>
      <c r="E2" s="32">
        <v>0.11898008672094562</v>
      </c>
      <c r="F2" s="32">
        <v>-0.4956091889819696</v>
      </c>
      <c r="G2" s="32">
        <v>-0.28917251306001646</v>
      </c>
      <c r="H2" s="32">
        <v>-0.19442447341409164</v>
      </c>
      <c r="I2" s="32">
        <v>0.45234368395403735</v>
      </c>
      <c r="J2" s="32">
        <v>1.1810962429478771</v>
      </c>
      <c r="K2" s="32">
        <v>0.91485024575773721</v>
      </c>
      <c r="L2" s="32">
        <v>-3.9452827814198237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516A8-19F5-4DC8-985A-FE07FE2E2FFC}">
  <dimension ref="A1:L3"/>
  <sheetViews>
    <sheetView workbookViewId="0">
      <selection activeCell="A4" sqref="A4"/>
    </sheetView>
  </sheetViews>
  <sheetFormatPr defaultRowHeight="12.75" x14ac:dyDescent="0.2"/>
  <cols>
    <col min="1" max="1" width="15.28515625" bestFit="1" customWidth="1"/>
  </cols>
  <sheetData>
    <row r="1" spans="1:12" x14ac:dyDescent="0.2">
      <c r="A1" t="s">
        <v>473</v>
      </c>
      <c r="B1">
        <v>2010</v>
      </c>
      <c r="C1">
        <f>B1+1</f>
        <v>2011</v>
      </c>
      <c r="D1">
        <f t="shared" ref="D1:L1" si="0">C1+1</f>
        <v>2012</v>
      </c>
      <c r="E1">
        <f t="shared" si="0"/>
        <v>2013</v>
      </c>
      <c r="F1">
        <f t="shared" si="0"/>
        <v>2014</v>
      </c>
      <c r="G1">
        <f t="shared" si="0"/>
        <v>2015</v>
      </c>
      <c r="H1">
        <f t="shared" si="0"/>
        <v>2016</v>
      </c>
      <c r="I1">
        <f t="shared" si="0"/>
        <v>2017</v>
      </c>
      <c r="J1">
        <f t="shared" si="0"/>
        <v>2018</v>
      </c>
      <c r="K1">
        <f t="shared" si="0"/>
        <v>2019</v>
      </c>
      <c r="L1">
        <f t="shared" si="0"/>
        <v>2020</v>
      </c>
    </row>
    <row r="2" spans="1:12" x14ac:dyDescent="0.2">
      <c r="A2" t="s">
        <v>462</v>
      </c>
      <c r="B2" s="32">
        <v>26.842225178538055</v>
      </c>
      <c r="C2" s="32">
        <v>25.574999008589579</v>
      </c>
      <c r="D2" s="32">
        <v>25.729494852110857</v>
      </c>
      <c r="E2" s="32">
        <v>27.146621148948398</v>
      </c>
      <c r="F2" s="32">
        <v>26.245723530636468</v>
      </c>
      <c r="G2" s="32">
        <v>26.989570693449654</v>
      </c>
      <c r="H2" s="32">
        <v>27.958722951287001</v>
      </c>
      <c r="I2" s="32">
        <v>29.078536943490178</v>
      </c>
      <c r="J2" s="32">
        <v>30.626558713388576</v>
      </c>
      <c r="K2" s="32">
        <v>30.633311373633198</v>
      </c>
      <c r="L2" s="32">
        <v>29.151210372624885</v>
      </c>
    </row>
    <row r="3" spans="1:12" x14ac:dyDescent="0.2">
      <c r="A3" t="s">
        <v>483</v>
      </c>
      <c r="B3" s="32">
        <v>33.174752214179101</v>
      </c>
      <c r="C3" s="32">
        <v>31.978268283590968</v>
      </c>
      <c r="D3" s="32">
        <v>29.806163849251821</v>
      </c>
      <c r="E3" s="32">
        <v>27.027641062227453</v>
      </c>
      <c r="F3" s="32">
        <v>26.741332719618438</v>
      </c>
      <c r="G3" s="32">
        <v>27.27874320650967</v>
      </c>
      <c r="H3" s="32">
        <v>28.153147424701093</v>
      </c>
      <c r="I3" s="32">
        <v>28.626193259536141</v>
      </c>
      <c r="J3" s="32">
        <v>29.445462470440699</v>
      </c>
      <c r="K3" s="32">
        <v>29.718461127875461</v>
      </c>
      <c r="L3" s="32">
        <v>33.096493154044708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38F6D-CE01-4E68-921E-DF6F08FF7399}">
  <dimension ref="A1:L4"/>
  <sheetViews>
    <sheetView workbookViewId="0">
      <selection activeCell="A2" sqref="A2"/>
    </sheetView>
  </sheetViews>
  <sheetFormatPr defaultRowHeight="12.75" x14ac:dyDescent="0.2"/>
  <cols>
    <col min="1" max="1" width="14" bestFit="1" customWidth="1"/>
  </cols>
  <sheetData>
    <row r="1" spans="1:12" x14ac:dyDescent="0.2">
      <c r="A1" t="s">
        <v>473</v>
      </c>
      <c r="B1">
        <v>2010</v>
      </c>
      <c r="C1">
        <f>B1+1</f>
        <v>2011</v>
      </c>
      <c r="D1">
        <f t="shared" ref="D1:L1" si="0">C1+1</f>
        <v>2012</v>
      </c>
      <c r="E1">
        <f t="shared" si="0"/>
        <v>2013</v>
      </c>
      <c r="F1">
        <f t="shared" si="0"/>
        <v>2014</v>
      </c>
      <c r="G1">
        <f t="shared" si="0"/>
        <v>2015</v>
      </c>
      <c r="H1">
        <f t="shared" si="0"/>
        <v>2016</v>
      </c>
      <c r="I1">
        <f t="shared" si="0"/>
        <v>2017</v>
      </c>
      <c r="J1">
        <f t="shared" si="0"/>
        <v>2018</v>
      </c>
      <c r="K1">
        <f t="shared" si="0"/>
        <v>2019</v>
      </c>
      <c r="L1">
        <f t="shared" si="0"/>
        <v>2020</v>
      </c>
    </row>
    <row r="2" spans="1:12" x14ac:dyDescent="0.2">
      <c r="A2" t="s">
        <v>484</v>
      </c>
      <c r="B2" s="32">
        <v>23.918442091717658</v>
      </c>
      <c r="C2" s="32">
        <v>23.112291109824476</v>
      </c>
      <c r="D2" s="32">
        <v>23.957319825357107</v>
      </c>
      <c r="E2" s="32">
        <v>23.581565291880736</v>
      </c>
      <c r="F2" s="32">
        <v>23.642391753097158</v>
      </c>
      <c r="G2" s="32">
        <v>24.510800546854142</v>
      </c>
      <c r="H2" s="32">
        <v>25.74298852790476</v>
      </c>
      <c r="I2" s="32">
        <v>25.772744748977306</v>
      </c>
      <c r="J2" s="32">
        <v>26.441581447885596</v>
      </c>
      <c r="K2" s="32">
        <v>27.316043443241746</v>
      </c>
      <c r="L2" s="32">
        <v>25.72467742719417</v>
      </c>
    </row>
    <row r="3" spans="1:12" x14ac:dyDescent="0.2">
      <c r="A3" s="72" t="s">
        <v>485</v>
      </c>
      <c r="B3" s="32">
        <v>8.9701069820348351</v>
      </c>
      <c r="C3" s="32">
        <v>8.440693828668417</v>
      </c>
      <c r="D3" s="32">
        <v>8.650217783865898</v>
      </c>
      <c r="E3" s="32">
        <v>7.7031517437212829</v>
      </c>
      <c r="F3" s="32">
        <v>7.7041060724881412</v>
      </c>
      <c r="G3" s="32">
        <v>7.7421513464418075</v>
      </c>
      <c r="H3" s="32">
        <v>7.6079743969672045</v>
      </c>
      <c r="I3" s="32">
        <v>6.7986905566511231</v>
      </c>
      <c r="J3" s="32">
        <v>6.9897519679668481</v>
      </c>
      <c r="K3" s="32">
        <v>7.5303874954459671</v>
      </c>
      <c r="L3" s="32">
        <v>8.1781026242768196</v>
      </c>
    </row>
    <row r="4" spans="1:12" x14ac:dyDescent="0.2">
      <c r="A4" s="72" t="s">
        <v>486</v>
      </c>
      <c r="B4" s="32">
        <f t="shared" ref="B4:L4" si="1">B2-B3</f>
        <v>14.948335109682823</v>
      </c>
      <c r="C4" s="32">
        <f t="shared" si="1"/>
        <v>14.671597281156059</v>
      </c>
      <c r="D4" s="32">
        <f t="shared" si="1"/>
        <v>15.307102041491209</v>
      </c>
      <c r="E4" s="32">
        <f t="shared" si="1"/>
        <v>15.878413548159454</v>
      </c>
      <c r="F4" s="32">
        <f t="shared" si="1"/>
        <v>15.938285680609017</v>
      </c>
      <c r="G4" s="32">
        <f t="shared" si="1"/>
        <v>16.768649200412334</v>
      </c>
      <c r="H4" s="32">
        <f t="shared" si="1"/>
        <v>18.135014130937556</v>
      </c>
      <c r="I4" s="32">
        <f t="shared" si="1"/>
        <v>18.974054192326182</v>
      </c>
      <c r="J4" s="32">
        <f t="shared" si="1"/>
        <v>19.45182947991875</v>
      </c>
      <c r="K4" s="32">
        <f t="shared" si="1"/>
        <v>19.785655947795778</v>
      </c>
      <c r="L4" s="32">
        <f t="shared" si="1"/>
        <v>17.546574802917348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91D2B-D378-4786-8EDD-A305BB1A14DF}">
  <dimension ref="A1:L4"/>
  <sheetViews>
    <sheetView tabSelected="1" workbookViewId="0">
      <selection activeCell="C17" sqref="C17"/>
    </sheetView>
  </sheetViews>
  <sheetFormatPr defaultRowHeight="12.75" x14ac:dyDescent="0.2"/>
  <cols>
    <col min="1" max="1" width="27.28515625" bestFit="1" customWidth="1"/>
  </cols>
  <sheetData>
    <row r="1" spans="1:12" x14ac:dyDescent="0.2">
      <c r="A1" t="s">
        <v>473</v>
      </c>
      <c r="B1">
        <v>2010</v>
      </c>
      <c r="C1">
        <f>B1+1</f>
        <v>2011</v>
      </c>
      <c r="D1">
        <f t="shared" ref="D1:L1" si="0">C1+1</f>
        <v>2012</v>
      </c>
      <c r="E1">
        <f t="shared" si="0"/>
        <v>2013</v>
      </c>
      <c r="F1">
        <f t="shared" si="0"/>
        <v>2014</v>
      </c>
      <c r="G1">
        <f t="shared" si="0"/>
        <v>2015</v>
      </c>
      <c r="H1">
        <f t="shared" si="0"/>
        <v>2016</v>
      </c>
      <c r="I1">
        <f t="shared" si="0"/>
        <v>2017</v>
      </c>
      <c r="J1">
        <f t="shared" si="0"/>
        <v>2018</v>
      </c>
      <c r="K1">
        <f t="shared" si="0"/>
        <v>2019</v>
      </c>
      <c r="L1">
        <f t="shared" si="0"/>
        <v>2020</v>
      </c>
    </row>
    <row r="2" spans="1:12" x14ac:dyDescent="0.2">
      <c r="A2" t="s">
        <v>465</v>
      </c>
      <c r="B2" s="32">
        <v>28.430738540412442</v>
      </c>
      <c r="C2" s="32">
        <v>27.756374769001368</v>
      </c>
      <c r="D2" s="32">
        <v>26.987537185023719</v>
      </c>
      <c r="E2" s="32">
        <v>24.498243115072135</v>
      </c>
      <c r="F2" s="32">
        <v>25.273930007305424</v>
      </c>
      <c r="G2" s="32">
        <v>25.339803059091153</v>
      </c>
      <c r="H2" s="32">
        <v>25.806554762049888</v>
      </c>
      <c r="I2" s="32">
        <v>26.199093894215597</v>
      </c>
      <c r="J2" s="32">
        <v>26.221139895399997</v>
      </c>
      <c r="K2" s="32">
        <v>26.399741090276347</v>
      </c>
      <c r="L2" s="32">
        <v>30.465696773573413</v>
      </c>
    </row>
    <row r="3" spans="1:12" x14ac:dyDescent="0.2">
      <c r="A3" s="72" t="s">
        <v>492</v>
      </c>
      <c r="B3" s="32">
        <f>B2-B4</f>
        <v>17.477843676693574</v>
      </c>
      <c r="C3" s="32">
        <f t="shared" ref="C3:L3" si="1">C2-C4</f>
        <v>18.182966775853998</v>
      </c>
      <c r="D3" s="32">
        <f t="shared" si="1"/>
        <v>17.511639798892936</v>
      </c>
      <c r="E3" s="32">
        <f t="shared" si="1"/>
        <v>16.981667590971043</v>
      </c>
      <c r="F3" s="32">
        <f t="shared" si="1"/>
        <v>17.304489774322406</v>
      </c>
      <c r="G3" s="32">
        <f t="shared" si="1"/>
        <v>17.898436468468553</v>
      </c>
      <c r="H3" s="32">
        <f t="shared" si="1"/>
        <v>18.012236724507961</v>
      </c>
      <c r="I3" s="32">
        <f t="shared" si="1"/>
        <v>19.189371816520172</v>
      </c>
      <c r="J3" s="32">
        <f t="shared" si="1"/>
        <v>19.929344333433505</v>
      </c>
      <c r="K3" s="32">
        <f t="shared" si="1"/>
        <v>20.200687034346064</v>
      </c>
      <c r="L3" s="32">
        <f t="shared" si="1"/>
        <v>23.575850479608139</v>
      </c>
    </row>
    <row r="4" spans="1:12" x14ac:dyDescent="0.2">
      <c r="A4" s="72" t="s">
        <v>487</v>
      </c>
      <c r="B4" s="32">
        <v>10.952894863718866</v>
      </c>
      <c r="C4" s="32">
        <v>9.5734079931473701</v>
      </c>
      <c r="D4" s="32">
        <v>9.4758973861307805</v>
      </c>
      <c r="E4" s="32">
        <v>7.5165755241010945</v>
      </c>
      <c r="F4" s="32">
        <v>7.9694402329830201</v>
      </c>
      <c r="G4" s="32">
        <v>7.4413665906226001</v>
      </c>
      <c r="H4" s="32">
        <v>7.7943180375419265</v>
      </c>
      <c r="I4" s="32">
        <v>7.009722077695427</v>
      </c>
      <c r="J4" s="32">
        <v>6.2917955619664925</v>
      </c>
      <c r="K4" s="32">
        <v>6.1990540559302838</v>
      </c>
      <c r="L4" s="32">
        <v>6.8898462939652738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9C8CA-48B3-49D1-B95C-732CA3B141B8}">
  <dimension ref="A1:L2"/>
  <sheetViews>
    <sheetView workbookViewId="0">
      <selection activeCell="I22" sqref="I22"/>
    </sheetView>
  </sheetViews>
  <sheetFormatPr defaultRowHeight="12.75" x14ac:dyDescent="0.2"/>
  <cols>
    <col min="1" max="1" width="14.85546875" bestFit="1" customWidth="1"/>
  </cols>
  <sheetData>
    <row r="1" spans="1:12" x14ac:dyDescent="0.2">
      <c r="A1" t="s">
        <v>473</v>
      </c>
      <c r="B1">
        <v>2010</v>
      </c>
      <c r="C1">
        <f>B1+1</f>
        <v>2011</v>
      </c>
      <c r="D1">
        <f t="shared" ref="D1:L1" si="0">C1+1</f>
        <v>2012</v>
      </c>
      <c r="E1">
        <f t="shared" si="0"/>
        <v>2013</v>
      </c>
      <c r="F1">
        <f t="shared" si="0"/>
        <v>2014</v>
      </c>
      <c r="G1">
        <f t="shared" si="0"/>
        <v>2015</v>
      </c>
      <c r="H1">
        <f t="shared" si="0"/>
        <v>2016</v>
      </c>
      <c r="I1">
        <f t="shared" si="0"/>
        <v>2017</v>
      </c>
      <c r="J1">
        <f t="shared" si="0"/>
        <v>2018</v>
      </c>
      <c r="K1">
        <f t="shared" si="0"/>
        <v>2019</v>
      </c>
      <c r="L1">
        <f t="shared" si="0"/>
        <v>2020</v>
      </c>
    </row>
    <row r="2" spans="1:12" x14ac:dyDescent="0.2">
      <c r="A2" t="s">
        <v>488</v>
      </c>
      <c r="B2" s="32">
        <v>4.7440136737666601</v>
      </c>
      <c r="C2" s="32">
        <v>4.2218935145895964</v>
      </c>
      <c r="D2" s="32">
        <v>2.8186266642281006</v>
      </c>
      <c r="E2" s="32">
        <v>2.5293979471553198</v>
      </c>
      <c r="F2" s="32">
        <v>1.467402712313014</v>
      </c>
      <c r="G2" s="32">
        <v>1.9389401474185182</v>
      </c>
      <c r="H2" s="32">
        <v>2.3465926626512021</v>
      </c>
      <c r="I2" s="32">
        <v>2.4270993653205459</v>
      </c>
      <c r="J2" s="32">
        <v>3.2243225750407034</v>
      </c>
      <c r="K2" s="32">
        <v>3.3187200375991184</v>
      </c>
      <c r="L2" s="32">
        <v>2.6307963804712919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11AFD-60B6-4A2C-B8BD-152EFED78538}">
  <dimension ref="A1:R3"/>
  <sheetViews>
    <sheetView workbookViewId="0">
      <selection activeCell="C13" sqref="C13"/>
    </sheetView>
  </sheetViews>
  <sheetFormatPr defaultRowHeight="12.75" x14ac:dyDescent="0.2"/>
  <cols>
    <col min="1" max="1" width="19.7109375" bestFit="1" customWidth="1"/>
  </cols>
  <sheetData>
    <row r="1" spans="1:18" x14ac:dyDescent="0.2">
      <c r="A1" t="s">
        <v>473</v>
      </c>
      <c r="B1">
        <v>2010</v>
      </c>
      <c r="C1">
        <f>B1+1</f>
        <v>2011</v>
      </c>
      <c r="D1">
        <f t="shared" ref="D1:L1" si="0">C1+1</f>
        <v>2012</v>
      </c>
      <c r="E1">
        <f t="shared" si="0"/>
        <v>2013</v>
      </c>
      <c r="F1">
        <f t="shared" si="0"/>
        <v>2014</v>
      </c>
      <c r="G1">
        <f t="shared" si="0"/>
        <v>2015</v>
      </c>
      <c r="H1">
        <f t="shared" si="0"/>
        <v>2016</v>
      </c>
      <c r="I1">
        <f t="shared" si="0"/>
        <v>2017</v>
      </c>
      <c r="J1">
        <f t="shared" si="0"/>
        <v>2018</v>
      </c>
      <c r="K1">
        <f t="shared" si="0"/>
        <v>2019</v>
      </c>
      <c r="L1">
        <f t="shared" si="0"/>
        <v>2020</v>
      </c>
      <c r="M1">
        <v>2021</v>
      </c>
      <c r="N1">
        <v>2022</v>
      </c>
      <c r="O1">
        <v>2023</v>
      </c>
      <c r="P1">
        <v>2024</v>
      </c>
      <c r="Q1">
        <v>2025</v>
      </c>
      <c r="R1">
        <v>2026</v>
      </c>
    </row>
    <row r="2" spans="1:18" x14ac:dyDescent="0.2">
      <c r="A2" t="s">
        <v>491</v>
      </c>
      <c r="B2" s="32">
        <v>5.7168144031844124</v>
      </c>
      <c r="C2" s="32">
        <v>4.3123247465943715</v>
      </c>
      <c r="D2" s="32">
        <v>6.0368662022492252</v>
      </c>
      <c r="E2" s="32">
        <v>7.6355556108220366</v>
      </c>
      <c r="F2" s="32">
        <v>7.4738310440010505</v>
      </c>
      <c r="G2" s="32">
        <v>7.1521940775625836</v>
      </c>
      <c r="H2" s="32">
        <v>7.5998935641278367</v>
      </c>
      <c r="I2" s="32">
        <v>7.462065761649467</v>
      </c>
      <c r="J2" s="32">
        <v>7.472891804914374</v>
      </c>
      <c r="K2" s="32">
        <v>7.1139043016880175</v>
      </c>
      <c r="L2" s="32">
        <v>2.9445635125454546</v>
      </c>
      <c r="M2" s="32">
        <v>6.0000000000000009</v>
      </c>
      <c r="N2" s="32">
        <v>6.5</v>
      </c>
      <c r="O2" s="32">
        <v>6.5</v>
      </c>
      <c r="P2" s="32">
        <v>6.5</v>
      </c>
      <c r="Q2" s="32">
        <v>6.5</v>
      </c>
      <c r="R2" s="32">
        <v>6.5</v>
      </c>
    </row>
    <row r="3" spans="1:18" x14ac:dyDescent="0.2">
      <c r="A3" t="s">
        <v>490</v>
      </c>
      <c r="B3" s="32">
        <v>118.11458482659046</v>
      </c>
      <c r="C3" s="32">
        <v>116.24716892840432</v>
      </c>
      <c r="D3" s="32">
        <v>119.05511643531395</v>
      </c>
      <c r="E3" s="32">
        <v>116.64570752639054</v>
      </c>
      <c r="F3" s="32">
        <v>118.3430133824356</v>
      </c>
      <c r="G3" s="32">
        <v>111.48756913921392</v>
      </c>
      <c r="H3" s="32">
        <v>113.69488932117244</v>
      </c>
      <c r="I3" s="32">
        <v>101.22488295179777</v>
      </c>
      <c r="J3" s="32">
        <v>94.386131849517213</v>
      </c>
      <c r="K3" s="32">
        <v>94.259651511701321</v>
      </c>
      <c r="L3" s="32">
        <v>106.13114251431257</v>
      </c>
      <c r="M3" s="32">
        <v>96.891301297178671</v>
      </c>
      <c r="N3" s="32">
        <v>85.279493800340106</v>
      </c>
      <c r="O3" s="32">
        <v>75.650817568219196</v>
      </c>
      <c r="P3" s="32">
        <v>69.301137429984109</v>
      </c>
      <c r="Q3" s="32">
        <v>64.363460409217339</v>
      </c>
      <c r="R3" s="32">
        <v>59.980149614730216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7FC1D21FBB6A4684F5DEE411086619" ma:contentTypeVersion="11" ma:contentTypeDescription="Create a new document." ma:contentTypeScope="" ma:versionID="27d70be92f127c26a400cff2a7e0f78a">
  <xsd:schema xmlns:xsd="http://www.w3.org/2001/XMLSchema" xmlns:xs="http://www.w3.org/2001/XMLSchema" xmlns:p="http://schemas.microsoft.com/office/2006/metadata/properties" xmlns:ns2="d31e5722-4d35-41fd-b4a5-69baf02e4ad4" xmlns:ns3="c827706e-1e50-4346-8053-7fd5fb10bf9d" targetNamespace="http://schemas.microsoft.com/office/2006/metadata/properties" ma:root="true" ma:fieldsID="875fd6b42985e2908e8f8872a16d3c97" ns2:_="" ns3:_="">
    <xsd:import namespace="d31e5722-4d35-41fd-b4a5-69baf02e4ad4"/>
    <xsd:import namespace="c827706e-1e50-4346-8053-7fd5fb10bf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1e5722-4d35-41fd-b4a5-69baf02e4a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781b0229-19ef-4425-8520-9f00e8db6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27706e-1e50-4346-8053-7fd5fb10bf9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b598103-fa4c-449a-8239-7aa81265bc89}" ma:internalName="TaxCatchAll" ma:showField="CatchAllData" ma:web="c827706e-1e50-4346-8053-7fd5fb10bf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79DD10-3625-49A9-B5C4-3658B4A7711A}"/>
</file>

<file path=customXml/itemProps2.xml><?xml version="1.0" encoding="utf-8"?>
<ds:datastoreItem xmlns:ds="http://schemas.openxmlformats.org/officeDocument/2006/customXml" ds:itemID="{8D836CEC-4975-4AF6-9C92-11F046941B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chart 1</vt:lpstr>
      <vt:lpstr>chart 2</vt:lpstr>
      <vt:lpstr>REMITTANCES</vt:lpstr>
      <vt:lpstr>fiscal</vt:lpstr>
      <vt:lpstr>rate and inflation</vt:lpstr>
      <vt:lpstr>int rates</vt:lpstr>
      <vt:lpstr>REER</vt:lpstr>
      <vt:lpstr>Deposits</vt:lpstr>
      <vt:lpstr>fiscal panel</vt:lpstr>
      <vt:lpstr>Chart 1 Data</vt:lpstr>
      <vt:lpstr>Chart 2 Data</vt:lpstr>
      <vt:lpstr>Chart 3 Data</vt:lpstr>
      <vt:lpstr>Chart 4 Data</vt:lpstr>
      <vt:lpstr>Chart 5 Data</vt:lpstr>
      <vt:lpstr>Chart 6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Thomas, Saji</dc:creator>
  <cp:lastModifiedBy>Siddiq, Osama</cp:lastModifiedBy>
  <dcterms:created xsi:type="dcterms:W3CDTF">2021-08-17T17:56:16Z</dcterms:created>
  <dcterms:modified xsi:type="dcterms:W3CDTF">2021-09-25T20:03:07Z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2021-08-17T17:56:17Z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fc18db56-a1d9-4809-9cc8-529b2d8f496a</vt:lpwstr>
  </property>
  <property fmtid="{D5CDD505-2E9C-101B-9397-08002B2CF9AE}" pid="8" name="MSIP_Label_0c07ed86-5dc5-4593-ad03-a8684b843815_ContentBits">
    <vt:lpwstr>0</vt:lpwstr>
  </property>
  <property fmtid="{D5CDD505-2E9C-101B-9397-08002B2CF9AE}" pid="9" name="eDOCS AutoSave">
    <vt:lpwstr/>
  </property>
</Properties>
</file>